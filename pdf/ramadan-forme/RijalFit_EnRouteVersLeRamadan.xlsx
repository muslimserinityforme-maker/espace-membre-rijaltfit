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16380" windowHeight="8190" tabRatio="500" activeTab="0"/>
  </bookViews>
  <sheets>
    <sheet name="MODE D'EMPLOI" sheetId="1" r:id="rId1"/>
    <sheet name="MON SUIVI QUOTIDIEN" sheetId="2" r:id="rId2"/>
    <sheet name="MON BILAN RIJAL FIT" sheetId="3" r:id="rId3"/>
    <sheet name="MA PROGRESSION" sheetId="4" r:id="rId4"/>
    <sheet name="MES MISSIONS" sheetId="8" r:id="rId12"/>
    <sheet name="VERSETS" sheetId="9" r:id="rId13"/>
    <sheet name="MISSIONS" sheetId="5" r:id="rId5"/>
    <sheet name="CALCULS" sheetId="6" state="hidden" r:id="rId6"/>
    <sheet name="TEXTES" sheetId="7" state="hidden" r:id="rId7"/>
  </sheets>
  <definedNames>
    <definedName name="SAISIES_SEMAINE">'MON SUIVI QUOTIDIEN'!$E$28:$K$28,'MON SUIVI QUOTIDIEN'!$E$29:$K$29,'MON SUIVI QUOTIDIEN'!$E$30:$K$30,'MON SUIVI QUOTIDIEN'!$E$31:$K$31,'MON SUIVI QUOTIDIEN'!$E$32:$K$32,'MON SUIVI QUOTIDIEN'!$E$33:$K$33,'MON SUIVI QUOTIDIEN'!$E$34:$K$34,'MON SUIVI QUOTIDIEN'!$E$35:$K$35,'MON SUIVI QUOTIDIEN'!$E$36:$K$36,'MON SUIVI QUOTIDIEN'!$E$37:$K$37,'MON SUIVI QUOTIDIEN'!$E$38:$K$38,'MON SUIVI QUOTIDIEN'!$E$39:$K$39,'MON SUIVI QUOTIDIEN'!$E$40:$K$40,'MON SUIVI QUOTIDIEN'!$E$41:$K$41,'MON SUIVI QUOTIDIEN'!$E$42:$K$42,'MON SUIVI QUOTIDIEN'!$E$43:$K$43,'MON SUIVI QUOTIDIEN'!$E$44:$K$44,'MON SUIVI QUOTIDIEN'!$E$45:$K$45,'MON SUIVI QUOTIDIEN'!$E$46:$K$46,'MON SUIVI QUOTIDIEN'!$E$47:$K$47,'MON SUIVI QUOTIDIEN'!$E$48:$K$48,'MON SUIVI QUOTIDIEN'!$E$49:$K$49,'MON SUIVI QUOTIDIEN'!$E$50:$K$50,'MON SUIVI QUOTIDIEN'!$E$51:$K$51,'MON SUIVI QUOTIDIEN'!$E$52:$K$52,'MON SUIVI QUOTIDIEN'!$E$53:$K$53,'MON SUIVI QUOTIDIEN'!$E$54:$K$54,'MON SUIVI QUOTIDIEN'!$E$55:$K$55,'MON SUIVI QUOTIDIEN'!$E$56:$K$56,'MON SUIVI QUOTIDIEN'!$E$57:$K$57,'MON SUIVI QUOTIDIEN'!$E$58:$K$58,'MON SUIVI QUOTIDIEN'!$E$59:$K$59,'MON SUIVI QUOTIDIEN'!$E$60:$K$60,'MON SUIVI QUOTIDIEN'!$E$61:$K$61,'MON SUIVI QUOTIDIEN'!$E$62:$K$62,'MON SUIVI QUOTIDIEN'!$E$63:$K$63,'MON SUIVI QUOTIDIEN'!$E$64:$K$64,'MON SUIVI QUOTIDIEN'!$E$65:$K$65,'MON SUIVI QUOTIDIEN'!$E$66:$K$66,'MON SUIVI QUOTIDIEN'!$E$67:$K$67,'MON SUIVI QUOTIDIEN'!$E$72:$K$72,'MON SUIVI QUOTIDIEN'!$E$74:$K$74,'MON SUIVI QUOTIDIEN'!$E$75:$K$75,'MON SUIVI QUOTIDIEN'!$E$80:$K$80,'MON SUIVI QUOTIDIEN'!$E$81:$K$81,'MON SUIVI QUOTIDIEN'!$E$83:$K$83,'MON SUIVI QUOTIDIEN'!$E$88:$K$88,'MON SUIVI QUOTIDIEN'!$E$89:$K$89,'MON SUIVI QUOTIDIEN'!$E$90:$K$90,'MON SUIVI QUOTIDIEN'!$E$97:$K$97</definedName>
  </definedNames>
  <calcPr calcId="125725" iterateDelta="1E-4"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<sst xmlns="http://schemas.openxmlformats.org/spreadsheetml/2006/main" count="381" uniqueCount="305">
  <si>
    <t>RIJAL FIT — EN ROUTE VERS LE RAMADAN</t>
  </si>
  <si>
    <t>TON CORPS AU SERVICE DE TA FOI</t>
  </si>
  <si>
    <t>BIENVENUE DANS TON SUIVI « EN ROUTE VERS LE RAMADAN »</t>
  </si>
  <si>
    <t>P</t>
  </si>
  <si>
    <t>Cet outil t'aide à installer, semaine après semaine, des habitudes régulières pour ta foi et pour ton corps. Il mesure la régularité, jamais la sincérité ni la valeur d'une personne auprès d'Allah.</t>
  </si>
  <si>
    <t>CHAQUE SEMAINE, EN 4 ÉTAPES</t>
  </si>
  <si>
    <t>1</t>
  </si>
  <si>
    <t>Onglet MON SUIVI QUOTIDIEN : renseigne ton nom, la date de début du challenge (Jour 1) et la date de début de ta semaine. Le numéro de semaine se calcule seul.</t>
  </si>
  <si>
    <t>2</t>
  </si>
  <si>
    <t>Personnalise tes objectifs chiffrés (eau, repas, sommeil, coucher, activité) selon tes capacités. Ils ne sont pas les mêmes pour tout le monde, et c'est normal.</t>
  </si>
  <si>
    <t>3</t>
  </si>
  <si>
    <t>Chaque soir, remplis uniquement les cellules ivoire à bordure dorée : listes déroulantes (Fait / Pas fait / N/A, Oui / Non) et petits nombres.</t>
  </si>
  <si>
    <t>4</t>
  </si>
  <si>
    <t>En fin de semaine, ouvre MON BILAN RIJAL FIT : score, radar, analyse et mission de la semaine suivante s'affichent automatiquement. Reporte ensuite la ligne « À reporter » dans MA PROGRESSION.</t>
  </si>
  <si>
    <t>LES RÈGLES DU JEU</t>
  </si>
  <si>
    <t>•</t>
  </si>
  <si>
    <t>Case vide = donnée manquante, jamais un échec. Elle n'est pas comptée.</t>
  </si>
  <si>
    <t>N/A = non applicable (voyage, maladie, situation particulière). Pas de pénalité.</t>
  </si>
  <si>
    <t>Case grisée dans la partie Religion = mission pas encore introduite ce jour-là. Elle n'est pas comptée.</t>
  </si>
  <si>
    <t>Les missions religieuses s'ajoutent automatiquement dès leur jour d'introduction et restent ensuite : tu conserves les habitudes précédentes.</t>
  </si>
  <si>
    <t>Bilan complet : il faut un nombre minimum de jours renseignés dans chaque pilier (réglé par le coach, 4 jours sur 7 par défaut). Sinon le bilan est « incomplet » et le score global ne s'affiche pas.</t>
  </si>
  <si>
    <t>LA MÉTHODE 5-2-2-1</t>
  </si>
  <si>
    <t>Score global /100 = Religion × 0,50 + Nutrition × 0,20 + Sommeil × 0,20 + Sport × 0,10. Ces coefficients sont pédagogiques et propres à la méthode Rijal Fit : ils ne classent pas la valeur religieuse des actes.</t>
  </si>
  <si>
    <t>Religion : missions faites / missions actives renseignées. Obligations et habitudes recommandées sont affichées séparément dans le détail du bilan.</t>
  </si>
  <si>
    <t>Nutrition : moyenne de l'hydratation (vs ton objectif), des repas équilibrés (vs ton objectif) et de la régularité des horaires de repas.</t>
  </si>
  <si>
    <t>Sommeil : moyenne de la durée (vs ton objectif), d'un coucher dans ta plage horaire et de ta routine de récupération.</t>
  </si>
  <si>
    <t>Sport : moyenne des minutes (vs ton objectif), des séances prévues réalisées et de la régularité de la semaine (jours actifs vs ton objectif).</t>
  </si>
  <si>
    <t>Le radar montre les 4 taux bruts, sans coefficient. Un pilier sans donnée apparaît à 0 avec la mention « aucune donnée » : rien n'est inventé.</t>
  </si>
  <si>
    <t>FORMATS DE SAISIE</t>
  </si>
  <si>
    <t>Dates : 02/11/2026   ·   Heures de sommeil : 7,5 (= 7 h 30)   ·   Heure de coucher : 23:15   ·   Litres : 1,5   ·   Minutes : 30</t>
  </si>
  <si>
    <t>Jour de repos prévu : laisse les minutes vides et choisis « Séance prévue : Non ».</t>
  </si>
  <si>
    <t>NOUVELLE SEMAINE</t>
  </si>
  <si>
    <t>Enregistre une copie du fichier si tu veux garder la semaine (ex. « Rijal Fit - Semaine 3 »).</t>
  </si>
  <si>
    <t>Pour vider les saisies quotidiennes d'un coup (Excel ordinateur) : clique dans la zone Nom, en haut à gauche au-dessus de la colonne A, tape SAISIES_SEMAINE, Entrée, puis touche Suppr. Tes objectifs et ta progression sont conservés.</t>
  </si>
  <si>
    <t>Change la date de début de semaine. Les nouvelles missions apparaissent toutes seules.</t>
  </si>
  <si>
    <t>POUR LE COACH</t>
  </si>
  <si>
    <t>Onglet MISSIONS : ajoute les nouvelles missions à la suite (jour d'introduction, texte court, nature). 40 lignes disponibles. Réglage du seuil de bilan complet en haut de l'onglet.</t>
  </si>
  <si>
    <t>Les feuilles sont protégées sans mot de passe pour éviter d'effacer une formule par erreur : Révision › Ôter la protection de la feuille pour modifier la mise en page.</t>
  </si>
  <si>
    <t>Les messages automatiques sont dans l'onglet masqué TEXTES (clic droit sur un onglet › Afficher). Tu peux les réécrire ; garde « {X} », remplacé par la valeur personnelle du participant.</t>
  </si>
  <si>
    <t>Aucune macro : le fichier fonctionne sur Excel ordinateur, Mac, et en consultation/saisie sur Excel mobile.</t>
  </si>
  <si>
    <t>Commencer mon suivi ›</t>
  </si>
  <si>
    <t>Aller à  →</t>
  </si>
  <si>
    <t>Religion</t>
  </si>
  <si>
    <t>Nutrition</t>
  </si>
  <si>
    <t>Sommeil</t>
  </si>
  <si>
    <t>Sport</t>
  </si>
  <si>
    <t>Notes</t>
  </si>
  <si>
    <t>Mon bilan ›</t>
  </si>
  <si>
    <t>Saisis uniquement dans les cellules ivoire à bordure dorée. Tout le reste se calcule seul. Une case vide = donnée manquante, jamais un échec.</t>
  </si>
  <si>
    <t>MES INFORMATIONS</t>
  </si>
  <si>
    <t>Nom du participant</t>
  </si>
  <si>
    <t>N° de semaine du challenge</t>
  </si>
  <si>
    <t>Date de début du challenge (Jour 1)</t>
  </si>
  <si>
    <t>Jours du challenge couverts</t>
  </si>
  <si>
    <t>Date de début de semaine</t>
  </si>
  <si>
    <t>Missions actives cette semaine</t>
  </si>
  <si>
    <t>Mes objectifs personnels de la semaine</t>
  </si>
  <si>
    <t>MES OBJECTIFS CHIFFRÉS — à adapter à TES capacités (avec ton coach si besoin)</t>
  </si>
  <si>
    <t>Hydratation visée par jour (litres)</t>
  </si>
  <si>
    <t>Exemple : 1,5 à 2,5 L selon ton gabarit, ton activité et la saison.</t>
  </si>
  <si>
    <t>Repas équilibrés visés par jour</t>
  </si>
  <si>
    <t>Protéines + légumes + féculents de qualité. Pas de calories imposées.</t>
  </si>
  <si>
    <t>Sommeil visé par nuit (heures)</t>
  </si>
  <si>
    <t>Saisie en heures décimales : 7,5 = 7 h 30.</t>
  </si>
  <si>
    <t>Heure de coucher visée</t>
  </si>
  <si>
    <t>Saisie au format 23:00. Sert à mesurer la régularité de tes horaires.</t>
  </si>
  <si>
    <t>Tolérance autour de l'heure de coucher (minutes)</t>
  </si>
  <si>
    <t>Coucher compté « dans la plage » s'il est à ± cette marge de l'heure visée.</t>
  </si>
  <si>
    <t>Minutes d'activité visées par jour actif</t>
  </si>
  <si>
    <t>Marche, renforcement, sport… À adapter à ta condition physique.</t>
  </si>
  <si>
    <t>Jours actifs visés par semaine</t>
  </si>
  <si>
    <t>Nombre de jours avec au moins un peu d'activité physique.</t>
  </si>
  <si>
    <t>MA SEMAINE</t>
  </si>
  <si>
    <t>Date</t>
  </si>
  <si>
    <t>Jour du challenge</t>
  </si>
  <si>
    <t>A.  RELIGION ET HABITUDES SPIRITUELLES — 50 %</t>
  </si>
  <si>
    <t>Mission</t>
  </si>
  <si>
    <t>Dès</t>
  </si>
  <si>
    <t>Nature</t>
  </si>
  <si>
    <t>Régularité</t>
  </si>
  <si>
    <t>Choisis Fait / Pas fait / N/A. Case grisée = mission pas encore introduite ce jour-là : elle n'est pas comptée. N/A (voyage, maladie, contexte particulier) n'est pas pénalisé.</t>
  </si>
  <si>
    <t>Les missions apparaissent automatiquement dès leur jour d'introduction et restent ensuite. Elles se gèrent dans l'onglet MISSIONS.</t>
  </si>
  <si>
    <t>Taux de réalisation Religion</t>
  </si>
  <si>
    <t>B.  NUTRITION — 20 %</t>
  </si>
  <si>
    <t>Indicateur</t>
  </si>
  <si>
    <t>Objectif</t>
  </si>
  <si>
    <t>Taux semaine</t>
  </si>
  <si>
    <t>Hydratation (litres bus)</t>
  </si>
  <si>
    <t>Objectif d'hydratation atteint</t>
  </si>
  <si>
    <t>Repas équilibrés (nombre)</t>
  </si>
  <si>
    <t>Horaires de repas réguliers</t>
  </si>
  <si>
    <t>Oui/Non</t>
  </si>
  <si>
    <t>Taux de réalisation Nutrition</t>
  </si>
  <si>
    <t>C.  SOMMEIL — 20 %</t>
  </si>
  <si>
    <t>Heures de sommeil (ex. 7,5)</t>
  </si>
  <si>
    <t>Heure de coucher (ex. 23:15)</t>
  </si>
  <si>
    <t>Coucher dans la plage visée</t>
  </si>
  <si>
    <t>Routine de récupération respectée</t>
  </si>
  <si>
    <t>Taux de réalisation Sommeil</t>
  </si>
  <si>
    <t>D.  SPORT — 10 %</t>
  </si>
  <si>
    <t>Minutes d'activité physique</t>
  </si>
  <si>
    <t>Séance d'entraînement prévue ?</t>
  </si>
  <si>
    <t>Séance réalisée ?</t>
  </si>
  <si>
    <t>Jour actif (auto)</t>
  </si>
  <si>
    <t>Taux de réalisation Sport</t>
  </si>
  <si>
    <t>Jour de repos prévu : laisse les minutes vides et indique « Séance prévue : Non ». Objectif de jours actifs : voir C18.</t>
  </si>
  <si>
    <t>MES NOTES DE LA SEMAINE (ressenti, contexte, victoires)</t>
  </si>
  <si>
    <t>Ce que je retiens du jour</t>
  </si>
  <si>
    <t>‹ Mon suivi</t>
  </si>
  <si>
    <t>MON SCORE GLOBAL — MÉTHODE 5-2-2-1</t>
  </si>
  <si>
    <t>Ce score mesure la régularité de tes habitudes. Il ne mesure jamais ta sincérité, ta piété ni ta valeur auprès d'Allah, et ne sert à aucun classement.</t>
  </si>
  <si>
    <t>MES 4 PILIERS</t>
  </si>
  <si>
    <t>Pilier</t>
  </si>
  <si>
    <t>Taux de réalisation</t>
  </si>
  <si>
    <t>Coef.</t>
  </si>
  <si>
    <t>Points</t>
  </si>
  <si>
    <t>Jours renseignés</t>
  </si>
  <si>
    <t>Statut</t>
  </si>
  <si>
    <t>Le radar ci-dessous montre les taux de réalisation bruts (non pondérés). Le score global applique les coefficients pédagogiques 5-2-2-1, qui ne sont pas une hiérarchie de la valeur religieuse des actes.</t>
  </si>
  <si>
    <t>MON RADAR DE LA SEMAINE</t>
  </si>
  <si>
    <t>MON ANALYSE PERSONNALISÉE</t>
  </si>
  <si>
    <t>①  CE QUE TU FAIS BIEN</t>
  </si>
  <si>
    <t>②  CE QUE TU DOIS AMÉLIORER</t>
  </si>
  <si>
    <t>③  TA MISSION DE LA SEMAINE PROCHAINE</t>
  </si>
  <si>
    <t>LE DÉTAIL DE MES INDICATEURS</t>
  </si>
  <si>
    <t>Taux</t>
  </si>
  <si>
    <t>Ce que ça mesure</t>
  </si>
  <si>
    <t>Religion — habitudes recommandées</t>
  </si>
  <si>
    <t>Missions cochées « Fait » / missions actives renseignées (hors N/A).</t>
  </si>
  <si>
    <t>Religion — obligations</t>
  </si>
  <si>
    <t>Idem, pour les missions marquées « Obligation » dans l'onglet MISSIONS.</t>
  </si>
  <si>
    <t>Hydratation</t>
  </si>
  <si>
    <t>Litres bus / objectif personnel, plafonné à 100 % par jour.</t>
  </si>
  <si>
    <t>Repas équilibrés</t>
  </si>
  <si>
    <t>Repas équilibrés / objectif personnel, plafonné à 100 % par jour.</t>
  </si>
  <si>
    <t>Jours « Oui » / jours Oui + Non.</t>
  </si>
  <si>
    <t>Durée de sommeil</t>
  </si>
  <si>
    <t>Heures dormies / objectif personnel, plafonné à 100 %.</t>
  </si>
  <si>
    <t>Heure de coucher régulière</t>
  </si>
  <si>
    <t>Couchers dans la plage visée (± tolérance) / couchers renseignés.</t>
  </si>
  <si>
    <t>Routine de récupération</t>
  </si>
  <si>
    <t>Minutes d'activité</t>
  </si>
  <si>
    <t>Minutes / objectif par jour actif, plafonné à 100 %.</t>
  </si>
  <si>
    <t>Séances prévues réalisées</t>
  </si>
  <si>
    <t>Séances réalisées / séances prévues.</t>
  </si>
  <si>
    <t>Régularité hebdomadaire</t>
  </si>
  <si>
    <t>Jours actifs / jours actifs visés, plafonné à 100 %.</t>
  </si>
  <si>
    <t>À REPORTER DANS « MA PROGRESSION »</t>
  </si>
  <si>
    <t>Semaine</t>
  </si>
  <si>
    <t>Score /100</t>
  </si>
  <si>
    <t>En fin de semaine : sélectionne C à G de la ligne ci-dessus, Copier, puis dans MA PROGRESSION, sur la ligne de ta semaine : clic droit › Collage spécial › Valeurs.</t>
  </si>
  <si>
    <t>RAPPEL RIJAL FIT</t>
  </si>
  <si>
    <t>Ce bilan mesure la régularité de tes habitudes, rien d'autre. Il ne juge ni ta sincérité, ni ta piété, ni ta valeur auprès d'Allah. Il n'existe aucun classement entre participants. Les objectifs physiques sont personnels : compare-toi uniquement à toi-même, semaine après semaine. Objectif : construire un corps au service de ta foi et te préparer progressivement à mieux adorer Allah pendant le Ramadan.</t>
  </si>
  <si>
    <t>MA PROGRESSION SEMAINE APRÈS SEMAINE</t>
  </si>
  <si>
    <t>Chaque fin de semaine, recopie (Collage spécial › Valeurs) la ligne « À reporter » de ton bilan. Les graphiques se mettent à jour seuls. Seule ta propre progression compte.</t>
  </si>
  <si>
    <t>Ce que je retiens</t>
  </si>
  <si>
    <t>Semaine 1</t>
  </si>
  <si>
    <t>Semaine 2</t>
  </si>
  <si>
    <t>Semaine 3</t>
  </si>
  <si>
    <t>Semaine 4</t>
  </si>
  <si>
    <t>Semaine 5</t>
  </si>
  <si>
    <t>Semaine 6</t>
  </si>
  <si>
    <t>Semaine 7</t>
  </si>
  <si>
    <t>Semaine 8</t>
  </si>
  <si>
    <t>Semaine 9</t>
  </si>
  <si>
    <t>Semaine 10</t>
  </si>
  <si>
    <t>Semaine 11</t>
  </si>
  <si>
    <t>Semaine 12</t>
  </si>
  <si>
    <t>Semaine 13</t>
  </si>
  <si>
    <t>Semaine 14</t>
  </si>
  <si>
    <t>Semaine 15</t>
  </si>
  <si>
    <t>Semaine 16</t>
  </si>
  <si>
    <t>Semaine 17</t>
  </si>
  <si>
    <t>Semaine 18</t>
  </si>
  <si>
    <t>Semaine 19</t>
  </si>
  <si>
    <t>Semaine 20</t>
  </si>
  <si>
    <t>ESPACE COACH — MISSIONS RELIGIEUSES ET RÉGLAGES</t>
  </si>
  <si>
    <t>Jours renseignés minimum par pilier pour un bilan complet (sur 7)</t>
  </si>
  <si>
    <t>En dessous de ce nombre de jours renseignés dans un pilier, le bilan est signalé « incomplet » et le score global n'est pas affiché. Une case vide n'est jamais comptée comme un échec.</t>
  </si>
  <si>
    <t>LISTE DES MISSIONS (ajoute les nouvelles à la suite, dans l'ordre de leur jour d'introduction)</t>
  </si>
  <si>
    <t>N°</t>
  </si>
  <si>
    <t>Jour d'intro (J…)</t>
  </si>
  <si>
    <t>Mission (texte court)</t>
  </si>
  <si>
    <t>Précision / conseil</t>
  </si>
  <si>
    <t>Lire 10 versets du Coran</t>
  </si>
  <si>
    <t>Habitude recommandée</t>
  </si>
  <si>
    <t>Chaque jour, même lentement. La régularité compte plus que la quantité.</t>
  </si>
  <si>
    <t>Dire l'invocation du réveil</t>
  </si>
  <si>
    <t>À dire dès le réveil, avant de prendre son téléphone.</t>
  </si>
  <si>
    <t>Renouveler mon intention pour Allah dans mes activités</t>
  </si>
  <si>
    <t>Travail, repas, sport, famille : faire de l'ordinaire une adoration.</t>
  </si>
  <si>
    <t>Bon soupçon envers les autres et sourires sincères</t>
  </si>
  <si>
    <t>Chercher l'excuse avant le reproche ; sourire à ceux qu'on croise.</t>
  </si>
  <si>
    <t>Prononcer 100 fois « Astaghfirullah »</t>
  </si>
  <si>
    <t>Avec une intention sincère, à un moment fixe de la journée.</t>
  </si>
  <si>
    <t>Nature : « Obligation » pour un acte obligatoire (ex. une prière), « Habitude recommandée » pour un acte facultatif. Les deux sont suivis comme des habitudes de régularité et affichés séparément dans le détail du bilan. Le fichier ne note jamais la sincérité ni la qualité de la foi.</t>
  </si>
  <si>
    <t>Feuille de calcul technique — ne pas modifier (masquée)</t>
  </si>
  <si>
    <t>Lun</t>
  </si>
  <si>
    <t>Mar</t>
  </si>
  <si>
    <t>Mer</t>
  </si>
  <si>
    <t>Jeu</t>
  </si>
  <si>
    <t>Ven</t>
  </si>
  <si>
    <t>Sam</t>
  </si>
  <si>
    <t>Dim</t>
  </si>
  <si>
    <t>Religion — fait</t>
  </si>
  <si>
    <t>Religion — pas fait</t>
  </si>
  <si>
    <t>Religion — N/A</t>
  </si>
  <si>
    <t>Religion — renseigné</t>
  </si>
  <si>
    <t>Religion — taux jour</t>
  </si>
  <si>
    <t>Nutrition — hydratation (ratio)</t>
  </si>
  <si>
    <t>Nutrition — repas (ratio)</t>
  </si>
  <si>
    <t>Nutrition — horaires (1/0)</t>
  </si>
  <si>
    <t>Nutrition — renseigné</t>
  </si>
  <si>
    <t>Nutrition — taux jour</t>
  </si>
  <si>
    <t>Sommeil — durée (ratio)</t>
  </si>
  <si>
    <t>Sommeil — coucher dans la plage</t>
  </si>
  <si>
    <t>Sommeil — routine (1/0)</t>
  </si>
  <si>
    <t>Sommeil — renseigné</t>
  </si>
  <si>
    <t>Sommeil — taux jour</t>
  </si>
  <si>
    <t>Sport — minutes (ratio)</t>
  </si>
  <si>
    <t>Sport — séance prévue réalisée</t>
  </si>
  <si>
    <t>Sport — jour actif</t>
  </si>
  <si>
    <t>Sport — renseigné</t>
  </si>
  <si>
    <t>Sport — taux jour</t>
  </si>
  <si>
    <t>Coef</t>
  </si>
  <si>
    <t>Libellé radar</t>
  </si>
  <si>
    <t>Valeur radar</t>
  </si>
  <si>
    <t>Niveau</t>
  </si>
  <si>
    <t>Bilan complet (1/0)</t>
  </si>
  <si>
    <t>Score global /100</t>
  </si>
  <si>
    <t>Nb piliers avec données</t>
  </si>
  <si>
    <t>Piliers à compléter (brut)</t>
  </si>
  <si>
    <t>Piliers à compléter</t>
  </si>
  <si>
    <t>Index meilleur pilier</t>
  </si>
  <si>
    <t>Index pilier à améliorer</t>
  </si>
  <si>
    <t>Niveau meilleur pilier</t>
  </si>
  <si>
    <t>Taux pilier à améliorer</t>
  </si>
  <si>
    <t>Ligne texte (1-10)</t>
  </si>
  <si>
    <t>Mission la moins régulière</t>
  </si>
  <si>
    <t>Valeur {X}</t>
  </si>
  <si>
    <t>Bloc 1</t>
  </si>
  <si>
    <t>Bloc 2</t>
  </si>
  <si>
    <t>Bloc 3</t>
  </si>
  <si>
    <t>Messages automatiques — modifiables par le coach (garde « {X} » : il est remplacé par la valeur personnalisée)</t>
  </si>
  <si>
    <t>Clé</t>
  </si>
  <si>
    <t>BLOC 2 — Ce que tu dois améliorer</t>
  </si>
  <si>
    <t>BLOC 3 — Ta mission de la semaine prochaine</t>
  </si>
  <si>
    <t>REL</t>
  </si>
  <si>
    <t>Mission religieuse</t>
  </si>
  <si>
    <t>Ta régularité sur la mission « {X} » peut encore progresser. Ce n'est pas une mesure de ta foi : c'est une habitude à consolider, pas à pas.</t>
  </si>
  <si>
    <t>Consolide la mission « {X} » chaque jour de la semaine prochaine, sans ajouter d'exigence nouvelle. Accroche-la à un moment fixe de ta journée, par exemple juste après une prière.</t>
  </si>
  <si>
    <t>NUT_HYD</t>
  </si>
  <si>
    <t>Ton hydratation reste en dessous de ton objectif de {X} L par jour. Boire régulièrement soutient ton énergie et ta concentration, y compris dans tes adorations.</t>
  </si>
  <si>
    <t>Remplis chaque matin une bouteille de {X} L et termine-la avant le coucher. Garde-la toujours à portée de main.</t>
  </si>
  <si>
    <t>NUT_REP</t>
  </si>
  <si>
    <t>Les repas équilibrés ne sont pas encore réguliers. Un seul repas bien construit par jour suffit pour commencer à changer les choses.</t>
  </si>
  <si>
    <t>Prépare un repas équilibré chaque jour : une source de protéines, des légumes et un féculent de qualité. Anticipe la veille si ta journée est chargée.</t>
  </si>
  <si>
    <t>NUT_REG</t>
  </si>
  <si>
    <t>Horaires de repas</t>
  </si>
  <si>
    <t>Tes horaires de repas manquent de régularité. Des repas à heures fixes aident ton corps à se préparer au rythme du Ramadan.</t>
  </si>
  <si>
    <t>Fixe-toi deux horaires de repas et tiens-les au moins 5 jours sur 7.</t>
  </si>
  <si>
    <t>SOM_DUR</t>
  </si>
  <si>
    <t>Ton temps de sommeil reste en dessous de ton objectif de {X} h. La récupération conditionne ton énergie pour la journée et pour la prière de l'aube.</t>
  </si>
  <si>
    <t>Avance ton heure de coucher de 15 minutes cette semaine pour te rapprocher de tes {X} h de sommeil.</t>
  </si>
  <si>
    <t>SOM_HOR</t>
  </si>
  <si>
    <t>Heure de coucher</t>
  </si>
  <si>
    <t>Ton sommeil manque de régularité. Essaie de stabiliser progressivement ton heure de coucher pour améliorer ta récupération.</t>
  </si>
  <si>
    <t>Couche-toi chaque soir aux alentours de {X}, même le week-end. Coupe les écrans 30 minutes avant.</t>
  </si>
  <si>
    <t>SOM_ROU</t>
  </si>
  <si>
    <t>Ta routine de récupération n'a pas encore trouvé sa place. Quelques minutes de calme avant de dormir font une vraie différence.</t>
  </si>
  <si>
    <t>Choisis une routine courte (ablutions, invocations du soir, lumière tamisée) et répète-la chaque soir dans le même ordre.</t>
  </si>
  <si>
    <t>SPO_MIN</t>
  </si>
  <si>
    <t>Ton temps d'activité reste en dessous de ton objectif de {X} minutes par jour actif. Le mouvement n'a pas besoin d'être intense pour être utile.</t>
  </si>
  <si>
    <t>Ajoute 10 minutes de marche par jour, par exemple après un repas, pour te rapprocher de tes {X} minutes.</t>
  </si>
  <si>
    <t>SPO_SEA</t>
  </si>
  <si>
    <t>Séances prévues</t>
  </si>
  <si>
    <t>Certaines séances prévues n'ont pas pu être réalisées. C'est le signe qu'il faut ajuster le plan à ton emploi du temps réel, pas de forcer.</t>
  </si>
  <si>
    <t>Programme deux séances courtes (20 à 30 min) à des créneaux fixes dans ton agenda, et protège-les comme un rendez-vous.</t>
  </si>
  <si>
    <t>SPO_REG</t>
  </si>
  <si>
    <t>Régularité de l'activité</t>
  </si>
  <si>
    <t>Ton activité physique a été peu régulière sur la semaine. Des séances courtes et fréquentes valent mieux qu'une grosse séance isolée.</t>
  </si>
  <si>
    <t>Programme deux séances courtes ou des moments de marche adaptés, répartis sur la semaine.</t>
  </si>
  <si>
    <t>BLOC 1</t>
  </si>
  <si>
    <t>Niveau haut (≥ 80 %)</t>
  </si>
  <si>
    <t>Niveau moyen (50–79 %)</t>
  </si>
  <si>
    <t>Niveau bas (&lt; 50 %)</t>
  </si>
  <si>
    <t>Tu as été particulièrement régulier dans tes habitudes spirituelles cette semaine. Continue à préserver cette constance tout en renouvelant ton intention.</t>
  </si>
  <si>
    <t>Tes habitudes spirituelles sont ton point d'appui cette semaine. La base est posée : garde ce rythme et appuie-toi dessus pour faire avancer le reste.</t>
  </si>
  <si>
    <t>Même dans une semaine chargée, c'est dans tes habitudes spirituelles que tu as été le plus présent. Un petit acte régulier vaut mieux qu'un grand effort isolé : repars de là.</t>
  </si>
  <si>
    <t>Ton alimentation a été très régulière cette semaine : hydratation et repas étaient au rendez-vous. Un corps bien nourri, c'est de l'énergie disponible pour tes adorations.</t>
  </si>
  <si>
    <t>Ton alimentation est ton pilier le plus solide cette semaine. Les bons réflexes s'installent : continue à les rendre automatiques.</t>
  </si>
  <si>
    <t>C'est sur l'alimentation que tu as été le plus régulier cette semaine. C'est une base sur laquelle construire, un repas après l'autre.</t>
  </si>
  <si>
    <t>Ton sommeil a été très régulier cette semaine. Un corps reposé facilite la prière de l'aube et la concentration : protège ce rythme.</t>
  </si>
  <si>
    <t>Ton sommeil est ton point fort de la semaine. Tu as trouvé un rythme qui fonctionne : garde-le comme référence.</t>
  </si>
  <si>
    <t>C'est ton sommeil qui a été le plus régulier cette semaine. Pars de ce que tu as réussi pour stabiliser le reste.</t>
  </si>
  <si>
    <t>Tu as été très régulier dans ton activité physique cette semaine. Ton corps se renforce au service de ta foi : continue à ce rythme, adapté à tes capacités.</t>
  </si>
  <si>
    <t>L'activité physique est ton pilier le plus régulier cette semaine. Le mouvement fait partie de ta routine : entretiens-le.</t>
  </si>
  <si>
    <t>C'est dans l'activité physique que tu as été le plus présent cette semaine. Chaque séance compte : garde cette dynamique.</t>
  </si>
  <si>
    <t>CAS SPÉCIAUX</t>
  </si>
  <si>
    <t>Tout à 100 %</t>
  </si>
  <si>
    <t>Tous tes piliers renseignés sont à 100 % cette semaine. Rien à corriger : l'enjeu est maintenant de garder cette constance dans la durée.</t>
  </si>
  <si>
    <t>Tout ≥ 80 %</t>
  </si>
  <si>
    <t>Tous tes piliers renseignés dépassent 80 %, bravo. Ton plus petit écart reste celui-ci :</t>
  </si>
  <si>
    <t>Mission si 100 %</t>
  </si>
  <si>
    <t>Garde exactement le même rythme la semaine prochaine, sans ajouter de nouvelle exigence. La constance est ton objectif.</t>
  </si>
</sst>
</file>

<file path=xl/styles.xml><?xml version="1.0" encoding="utf-8"?>
<styleSheet xmlns="http://schemas.openxmlformats.org/spreadsheetml/2006/main">
  <numFmts count="9">
    <numFmt numFmtId="164" formatCode="0.0&quot; L&quot;"/>
    <numFmt numFmtId="165" formatCode="0.0&quot; h&quot;"/>
    <numFmt numFmtId="166" formatCode="0&quot; min&quot;"/>
    <numFmt numFmtId="167" formatCode="0&quot; j&quot;"/>
    <numFmt numFmtId="168" formatCode="dd/mm"/>
    <numFmt numFmtId="169" formatCode="\J0;&quot;avant&quot;;\J0"/>
    <numFmt numFmtId="170" formatCode="\J0"/>
    <numFmt numFmtId="171" formatCode="0.0"/>
    <numFmt numFmtId="172" formatCode="0&quot; / 100&quot;"/>
  </numFmts>
  <fonts count="27">
    <font>
      <sz val="11"/>
      <color theme="1"/>
      <name val="Calibri"/>
      <family val="2"/>
      <charset val="1"/>
    </font>
    <font>
      <b/>
      <sz val="20"/>
      <color rgb="FFC4A15A"/>
      <name val="Georgia"/>
      <charset val="1"/>
    </font>
    <font>
      <i/>
      <sz val="11"/>
      <color rgb="FFF7F4E9"/>
      <name val="Georgia"/>
      <charset val="1"/>
    </font>
    <font>
      <b/>
      <sz val="11"/>
      <color rgb="FFC4A15A"/>
      <name val="Georgia"/>
      <charset val="1"/>
    </font>
    <font>
      <b/>
      <sz val="10"/>
      <color rgb="FFC4A15A"/>
      <name val="Georgia"/>
      <charset val="1"/>
    </font>
    <font>
      <sz val="10"/>
      <color rgb="FF183C32"/>
      <name val="Arial"/>
      <charset val="1"/>
    </font>
    <font>
      <b/>
      <sz val="12"/>
      <color rgb="FFC4A15A"/>
      <name val="Georgia"/>
      <charset val="1"/>
    </font>
    <font>
      <b/>
      <u/>
      <sz val="12"/>
      <color rgb="FF183C32"/>
      <name val="Georgia"/>
      <charset val="1"/>
    </font>
    <font>
      <b/>
      <sz val="9"/>
      <color rgb="FFC4A15A"/>
      <name val="Arial"/>
      <charset val="1"/>
    </font>
    <font>
      <b/>
      <u/>
      <sz val="9"/>
      <color rgb="FF183C32"/>
      <name val="Arial"/>
      <charset val="1"/>
    </font>
    <font>
      <i/>
      <sz val="9"/>
      <color rgb="FF5F6B66"/>
      <name val="Arial"/>
      <charset val="1"/>
    </font>
    <font>
      <b/>
      <sz val="10"/>
      <color rgb="FF183C32"/>
      <name val="Arial"/>
      <charset val="1"/>
    </font>
    <font>
      <b/>
      <sz val="9"/>
      <color rgb="FF183C32"/>
      <name val="Arial"/>
      <charset val="1"/>
    </font>
    <font>
      <b/>
      <sz val="8"/>
      <color rgb="FF183C32"/>
      <name val="Arial"/>
      <charset val="1"/>
    </font>
    <font>
      <sz val="8"/>
      <color rgb="FF5F6B66"/>
      <name val="Arial"/>
      <charset val="1"/>
    </font>
    <font>
      <b/>
      <sz val="11"/>
      <color rgb="FFC4A15A"/>
      <name val="Arial"/>
      <charset val="1"/>
    </font>
    <font>
      <sz val="10"/>
      <color rgb="FF5F6B66"/>
      <name val="Arial"/>
      <charset val="1"/>
    </font>
    <font>
      <sz val="8"/>
      <color rgb="FF183C32"/>
      <name val="Arial"/>
      <charset val="1"/>
    </font>
    <font>
      <b/>
      <sz val="12"/>
      <color rgb="FF183C32"/>
      <name val="Georgia"/>
      <charset val="1"/>
    </font>
    <font>
      <b/>
      <sz val="34"/>
      <color rgb="FFC4A15A"/>
      <name val="Georgia"/>
      <charset val="1"/>
    </font>
    <font>
      <b/>
      <sz val="11"/>
      <color rgb="FF183C32"/>
      <name val="Georgia"/>
      <charset val="1"/>
    </font>
    <font>
      <sz val="11"/>
      <color rgb="FF183C32"/>
      <name val="Arial"/>
      <charset val="1"/>
    </font>
    <font>
      <sz val="9"/>
      <color rgb="FF183C32"/>
      <name val="Arial"/>
      <charset val="1"/>
    </font>
    <font>
      <i/>
      <sz val="10"/>
      <color rgb="FF183C32"/>
      <name val="Arial"/>
      <charset val="1"/>
    </font>
    <font>
      <b/>
      <sz val="9"/>
      <name val="Arial"/>
      <charset val="1"/>
    </font>
    <font>
      <sz val="9"/>
      <name val="Arial"/>
      <charset val="1"/>
    </font>
    <font>
      <sz val="18"/>
      <color rgb="FF183C32"/>
      <name val="Traditional Arabic"/>
      <family val="1"/>
    </font>
  </fonts>
  <fills count="5">
    <fill>
      <patternFill patternType="none"/>
    </fill>
    <fill>
      <patternFill patternType="gray125"/>
    </fill>
    <fill>
      <patternFill patternType="solid">
        <fgColor rgb="FF183C32"/>
        <bgColor rgb="FF003300"/>
      </patternFill>
    </fill>
    <fill>
      <patternFill patternType="solid">
        <fgColor rgb="FFF7F4E9"/>
        <bgColor rgb="FFF3F3F0"/>
      </patternFill>
    </fill>
    <fill>
      <patternFill patternType="solid">
        <fgColor rgb="FFE9EFE8"/>
        <bgColor rgb="FFECECE8"/>
      </patternFill>
    </fill>
  </fills>
  <borders count="5">
    <border>
      <left/>
      <right/>
      <top/>
      <bottom/>
      <diagonal/>
    </border>
    <border>
      <left/>
      <right/>
      <top/>
      <bottom style="medium">
        <color rgb="FFC4A15A"/>
      </bottom>
      <diagonal/>
    </border>
    <border>
      <left style="thin">
        <color rgb="FFC4A15A"/>
      </left>
      <right style="thin">
        <color rgb="FFC4A15A"/>
      </right>
      <top style="thin">
        <color rgb="FFC4A15A"/>
      </top>
      <bottom style="thin">
        <color rgb="FFC4A15A"/>
      </bottom>
      <diagonal/>
    </border>
    <border>
      <left style="thin">
        <color rgb="FFD5DDD3"/>
      </left>
      <right style="thin">
        <color rgb="FFD5DDD3"/>
      </right>
      <top style="thin">
        <color rgb="FFD5DDD3"/>
      </top>
      <bottom style="thin">
        <color rgb="FFD5DDD3"/>
      </bottom>
      <diagonal/>
    </border>
    <border>
      <left style="thick">
        <color rgb="FFC4A15A"/>
      </left>
      <right/>
      <top/>
      <bottom/>
      <diagonal/>
    </border>
  </borders>
  <cellStyleXfs count="1">
    <xf numFmtId="0" fontId="0" fillId="0" borderId="0"/>
  </cellStyleXfs>
  <cellXfs count="79">
    <xf numFmtId="0" fontId="0" fillId="0" borderId="0" xfId="0"/>
    <xf numFmtId="1" fontId="11" fillId="3" borderId="2" xfId="0" applyNumberFormat="1" applyFont="1" applyFill="1" applyBorder="1" applyAlignment="1" applyProtection="1">
      <alignment horizontal="center" vertical="center" wrapText="1"/>
      <protection locked="0"/>
    </xf>
    <xf numFmtId="164" fontId="11" fillId="3" borderId="2" xfId="0" applyNumberFormat="1" applyFont="1" applyFill="1" applyBorder="1" applyAlignment="1" applyProtection="1">
      <alignment horizontal="center" vertical="center" wrapText="1"/>
      <protection locked="0"/>
    </xf>
    <xf numFmtId="0" fontId="11" fillId="3" borderId="2" xfId="0" applyFont="1" applyFill="1" applyBorder="1" applyAlignment="1" applyProtection="1">
      <alignment horizontal="left" vertical="top" wrapText="1" indent="1"/>
      <protection locked="0"/>
    </xf>
    <xf numFmtId="14" fontId="11" fillId="3" borderId="2" xfId="0" applyNumberFormat="1" applyFont="1" applyFill="1" applyBorder="1" applyAlignment="1" applyProtection="1">
      <alignment horizontal="center" vertical="center" wrapText="1"/>
      <protection locked="0"/>
    </xf>
    <xf numFmtId="0" fontId="11" fillId="4" borderId="3" xfId="0" applyFont="1" applyFill="1" applyBorder="1" applyAlignment="1">
      <alignment horizontal="center" vertical="center" wrapText="1"/>
    </xf>
    <xf numFmtId="0" fontId="12" fillId="0" borderId="0" xfId="0" applyFont="1" applyBorder="1" applyAlignment="1">
      <alignment horizontal="left" vertical="center" wrapText="1" indent="1"/>
    </xf>
    <xf numFmtId="0" fontId="11" fillId="3" borderId="2" xfId="0" applyFont="1" applyFill="1" applyBorder="1" applyAlignment="1" applyProtection="1">
      <alignment horizontal="left" vertical="center" wrapText="1" indent="1"/>
      <protection locked="0"/>
    </xf>
    <xf numFmtId="0" fontId="6" fillId="2" borderId="0" xfId="0" applyFont="1" applyFill="1" applyBorder="1" applyAlignment="1">
      <alignment horizontal="left" vertical="center" wrapText="1" indent="1"/>
    </xf>
    <xf numFmtId="0" fontId="10" fillId="0" borderId="0" xfId="0" applyFont="1" applyBorder="1" applyAlignment="1">
      <alignment horizontal="left" vertical="center" wrapText="1" indent="1"/>
    </xf>
    <xf numFmtId="0" fontId="9" fillId="0" borderId="0" xfId="0" applyFont="1" applyBorder="1" applyAlignment="1">
      <alignment horizontal="center" vertical="center" wrapText="1"/>
    </xf>
    <xf numFmtId="0" fontId="3" fillId="2" borderId="0" xfId="0" applyFont="1" applyFill="1" applyBorder="1" applyAlignment="1">
      <alignment horizontal="left" vertical="center" wrapText="1" indent="1"/>
    </xf>
    <xf numFmtId="0" fontId="2" fillId="2" borderId="1"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4" fillId="0" borderId="0" xfId="0" applyFont="1" applyAlignment="1">
      <alignment horizontal="center" vertical="top"/>
    </xf>
    <xf numFmtId="0" fontId="5" fillId="0" borderId="0" xfId="0" applyFont="1" applyAlignment="1">
      <alignment vertical="top" wrapText="1"/>
    </xf>
    <xf numFmtId="0" fontId="6" fillId="0" borderId="0" xfId="0" applyFont="1" applyAlignment="1">
      <alignment horizontal="center" vertical="top"/>
    </xf>
    <xf numFmtId="0" fontId="7" fillId="0" borderId="0" xfId="0" applyFont="1"/>
    <xf numFmtId="0" fontId="8" fillId="0" borderId="0" xfId="0" applyFont="1" applyAlignment="1">
      <alignment horizontal="left" vertical="center" wrapText="1" indent="1"/>
    </xf>
    <xf numFmtId="0" fontId="9" fillId="0" borderId="0" xfId="0" applyFont="1" applyAlignment="1">
      <alignment horizontal="center" vertical="center" wrapText="1"/>
    </xf>
    <xf numFmtId="0" fontId="11" fillId="0" borderId="0" xfId="0" applyFont="1" applyAlignment="1">
      <alignment horizontal="left" vertical="center" wrapText="1" indent="1"/>
    </xf>
    <xf numFmtId="0" fontId="11" fillId="3" borderId="2" xfId="0" applyFont="1" applyFill="1" applyBorder="1" applyAlignment="1" applyProtection="1">
      <alignment horizontal="left" vertical="center" wrapText="1" indent="1"/>
      <protection locked="0"/>
    </xf>
    <xf numFmtId="0" fontId="11" fillId="4" borderId="3" xfId="0" applyFont="1" applyFill="1" applyBorder="1" applyAlignment="1">
      <alignment horizontal="center" vertical="center" wrapText="1"/>
    </xf>
    <xf numFmtId="1" fontId="11" fillId="3" borderId="2" xfId="0" applyNumberFormat="1" applyFont="1" applyFill="1" applyBorder="1" applyAlignment="1" applyProtection="1">
      <alignment horizontal="center" vertical="center" wrapText="1"/>
      <protection locked="0"/>
    </xf>
    <xf numFmtId="20" fontId="11" fillId="3" borderId="2" xfId="0" applyNumberFormat="1" applyFont="1" applyFill="1" applyBorder="1" applyAlignment="1" applyProtection="1">
      <alignment horizontal="center" vertical="center" wrapText="1"/>
      <protection locked="0"/>
    </xf>
    <xf numFmtId="0" fontId="11" fillId="4" borderId="0" xfId="0" applyFont="1" applyFill="1" applyAlignment="1">
      <alignment horizontal="left" vertical="center" wrapText="1" indent="1"/>
    </xf>
    <xf numFmtId="0" fontId="0" fillId="4" borderId="0" xfId="0" applyFill="1"/>
    <xf numFmtId="168" fontId="11" fillId="4" borderId="3" xfId="0" applyNumberFormat="1" applyFont="1" applyFill="1" applyBorder="1" applyAlignment="1">
      <alignment horizontal="center" vertical="center" wrapText="1"/>
    </xf>
    <xf numFmtId="169" fontId="11" fillId="4" borderId="3" xfId="0" applyNumberFormat="1" applyFont="1" applyFill="1" applyBorder="1" applyAlignment="1">
      <alignment horizontal="center" vertical="center" wrapText="1"/>
    </xf>
    <xf numFmtId="0" fontId="12" fillId="4" borderId="0" xfId="0" applyFont="1" applyFill="1" applyAlignment="1">
      <alignment horizontal="left" vertical="center" wrapText="1" indent="1"/>
    </xf>
    <xf numFmtId="0" fontId="13" fillId="4" borderId="0" xfId="0" applyFont="1" applyFill="1" applyAlignment="1">
      <alignment horizontal="center" vertical="center" wrapText="1"/>
    </xf>
    <xf numFmtId="0" fontId="12" fillId="4" borderId="0" xfId="0" applyFont="1" applyFill="1" applyAlignment="1">
      <alignment horizontal="center" vertical="center" wrapText="1"/>
    </xf>
    <xf numFmtId="0" fontId="5" fillId="0" borderId="3" xfId="0" applyFont="1" applyBorder="1" applyAlignment="1">
      <alignment horizontal="left" vertical="center" wrapText="1" indent="1"/>
    </xf>
    <xf numFmtId="170" fontId="8" fillId="0" borderId="3" xfId="0" applyNumberFormat="1" applyFont="1" applyBorder="1" applyAlignment="1">
      <alignment horizontal="center" vertical="center" wrapText="1"/>
    </xf>
    <xf numFmtId="0" fontId="14" fillId="0" borderId="3" xfId="0" applyFont="1" applyBorder="1" applyAlignment="1">
      <alignment horizontal="center" vertical="center" wrapText="1"/>
    </xf>
    <xf numFmtId="0" fontId="11" fillId="3" borderId="2" xfId="0" applyFont="1" applyFill="1" applyBorder="1" applyAlignment="1" applyProtection="1">
      <alignment horizontal="center" vertical="center" wrapText="1"/>
      <protection locked="0"/>
    </xf>
    <xf numFmtId="9" fontId="11" fillId="4" borderId="3" xfId="0" applyNumberFormat="1" applyFont="1" applyFill="1" applyBorder="1" applyAlignment="1">
      <alignment horizontal="center" vertical="center" wrapText="1"/>
    </xf>
    <xf numFmtId="9" fontId="15" fillId="2" borderId="0" xfId="0" applyNumberFormat="1" applyFont="1" applyFill="1" applyAlignment="1">
      <alignment horizontal="center" vertical="center" wrapText="1"/>
    </xf>
    <xf numFmtId="171" fontId="11" fillId="3" borderId="2" xfId="0" applyNumberFormat="1" applyFont="1" applyFill="1" applyBorder="1" applyAlignment="1" applyProtection="1">
      <alignment horizontal="center" vertical="center" wrapText="1"/>
      <protection locked="0"/>
    </xf>
    <xf numFmtId="0" fontId="5" fillId="0" borderId="0" xfId="0" applyFont="1" applyAlignment="1">
      <alignment horizontal="left" vertical="center" wrapText="1" indent="1"/>
    </xf>
    <xf numFmtId="1" fontId="11" fillId="4" borderId="3" xfId="0" applyNumberFormat="1" applyFont="1" applyFill="1" applyBorder="1" applyAlignment="1">
      <alignment horizontal="center" vertical="center" wrapText="1"/>
    </xf>
    <xf numFmtId="0" fontId="17" fillId="3" borderId="2" xfId="0" applyFont="1" applyFill="1" applyBorder="1" applyAlignment="1" applyProtection="1">
      <alignment horizontal="left" vertical="top" wrapText="1" indent="1"/>
      <protection locked="0"/>
    </xf>
    <xf numFmtId="9" fontId="5" fillId="4" borderId="3" xfId="0" applyNumberFormat="1" applyFont="1" applyFill="1" applyBorder="1" applyAlignment="1">
      <alignment horizontal="center" vertical="center" wrapText="1"/>
    </xf>
    <xf numFmtId="171" fontId="11"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22" fillId="0" borderId="0" xfId="0" applyFont="1" applyAlignment="1">
      <alignment horizontal="left" vertical="center" wrapText="1" indent="1"/>
    </xf>
    <xf numFmtId="9" fontId="11" fillId="3" borderId="2" xfId="0" applyNumberFormat="1" applyFont="1" applyFill="1" applyBorder="1" applyAlignment="1" applyProtection="1">
      <alignment horizontal="center" vertical="center" wrapText="1"/>
      <protection locked="0"/>
    </xf>
    <xf numFmtId="0" fontId="22" fillId="3" borderId="2" xfId="0" applyFont="1" applyFill="1" applyBorder="1" applyAlignment="1" applyProtection="1">
      <alignment horizontal="left" vertical="center" wrapText="1" indent="1"/>
      <protection locked="0"/>
    </xf>
    <xf numFmtId="0" fontId="11" fillId="4" borderId="0" xfId="0" applyFont="1" applyFill="1" applyAlignment="1">
      <alignment horizontal="center" vertical="center" wrapText="1"/>
    </xf>
    <xf numFmtId="170" fontId="11" fillId="3" borderId="2" xfId="0" applyNumberFormat="1" applyFont="1" applyFill="1" applyBorder="1" applyAlignment="1" applyProtection="1">
      <alignment horizontal="center" vertical="center" wrapText="1"/>
      <protection locked="0"/>
    </xf>
    <xf numFmtId="0" fontId="0" fillId="0" borderId="0" xfId="0"/>
    <xf numFmtId="9" fontId="0" fillId="0" borderId="0" xfId="0" applyNumberFormat="1"/>
    <xf numFmtId="0" fontId="24" fillId="0" borderId="0" xfId="0" applyFont="1" applyAlignment="1">
      <alignment vertical="top" wrapText="1"/>
    </xf>
    <xf numFmtId="0" fontId="25" fillId="0" borderId="0" xfId="0" applyFont="1" applyAlignment="1">
      <alignment vertical="top" wrapText="1"/>
    </xf>
    <xf numFmtId="165" fontId="11" fillId="3" borderId="2" xfId="0" applyNumberFormat="1" applyFont="1" applyFill="1" applyBorder="1" applyAlignment="1" applyProtection="1">
      <alignment horizontal="center" vertical="center" wrapText="1"/>
      <protection locked="0"/>
    </xf>
    <xf numFmtId="20" fontId="11" fillId="3" borderId="2" xfId="0" applyNumberFormat="1" applyFont="1" applyFill="1" applyBorder="1" applyAlignment="1" applyProtection="1">
      <alignment horizontal="center" vertical="center" wrapText="1"/>
      <protection locked="0"/>
    </xf>
    <xf numFmtId="166" fontId="11" fillId="3" borderId="2" xfId="0" applyNumberFormat="1" applyFont="1" applyFill="1" applyBorder="1" applyAlignment="1" applyProtection="1">
      <alignment horizontal="center" vertical="center" wrapText="1"/>
      <protection locked="0"/>
    </xf>
    <xf numFmtId="167" fontId="11" fillId="3" borderId="2" xfId="0" applyNumberFormat="1" applyFont="1" applyFill="1" applyBorder="1" applyAlignment="1" applyProtection="1">
      <alignment horizontal="center" vertical="center" wrapText="1"/>
      <protection locked="0"/>
    </xf>
    <xf numFmtId="164" fontId="11" fillId="4" borderId="3" xfId="0" applyNumberFormat="1" applyFont="1" applyFill="1" applyBorder="1" applyAlignment="1">
      <alignment horizontal="center" vertical="center" wrapText="1"/>
    </xf>
    <xf numFmtId="1" fontId="11" fillId="4" borderId="3" xfId="0" applyNumberFormat="1" applyFont="1" applyFill="1" applyBorder="1" applyAlignment="1">
      <alignment horizontal="center" vertical="center" wrapText="1"/>
    </xf>
    <xf numFmtId="0" fontId="16" fillId="4" borderId="3" xfId="0" applyFont="1" applyFill="1" applyBorder="1" applyAlignment="1">
      <alignment horizontal="center" vertical="center" wrapText="1"/>
    </xf>
    <xf numFmtId="165" fontId="11" fillId="4" borderId="3" xfId="0" applyNumberFormat="1" applyFont="1" applyFill="1" applyBorder="1" applyAlignment="1">
      <alignment horizontal="center" vertical="center" wrapText="1"/>
    </xf>
    <xf numFmtId="20" fontId="11" fillId="4" borderId="3" xfId="0" applyNumberFormat="1" applyFont="1" applyFill="1" applyBorder="1" applyAlignment="1">
      <alignment horizontal="center" vertical="center" wrapText="1"/>
    </xf>
    <xf numFmtId="166" fontId="11" fillId="4" borderId="3" xfId="0" applyNumberFormat="1" applyFont="1" applyFill="1" applyBorder="1" applyAlignment="1">
      <alignment horizontal="center" vertical="center" wrapText="1"/>
    </xf>
    <xf numFmtId="0" fontId="18" fillId="3" borderId="0" xfId="0" applyFont="1" applyFill="1" applyBorder="1" applyAlignment="1">
      <alignment horizontal="center" vertical="center" wrapText="1"/>
    </xf>
    <xf numFmtId="172" fontId="19" fillId="2" borderId="0" xfId="0" applyNumberFormat="1" applyFont="1" applyFill="1" applyBorder="1" applyAlignment="1">
      <alignment horizontal="center" vertical="center" wrapText="1"/>
    </xf>
    <xf numFmtId="0" fontId="11" fillId="4" borderId="0" xfId="0" applyFont="1" applyFill="1" applyBorder="1" applyAlignment="1">
      <alignment horizontal="left" vertical="center" wrapText="1" indent="1"/>
    </xf>
    <xf numFmtId="0" fontId="10" fillId="3" borderId="0" xfId="0" applyFont="1" applyFill="1" applyBorder="1" applyAlignment="1">
      <alignment horizontal="left" vertical="center" wrapText="1" indent="1"/>
    </xf>
    <xf numFmtId="0" fontId="12" fillId="4" borderId="0" xfId="0" applyFont="1" applyFill="1" applyBorder="1" applyAlignment="1">
      <alignment horizontal="center" vertical="center" wrapText="1"/>
    </xf>
    <xf numFmtId="9" fontId="11"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20" fillId="4" borderId="4" xfId="0" applyFont="1" applyFill="1" applyBorder="1" applyAlignment="1">
      <alignment horizontal="left" vertical="center" wrapText="1" indent="1"/>
    </xf>
    <xf numFmtId="0" fontId="21" fillId="3" borderId="4" xfId="0" applyFont="1" applyFill="1" applyBorder="1" applyAlignment="1">
      <alignment horizontal="left" vertical="top" wrapText="1" indent="1"/>
    </xf>
    <xf numFmtId="0" fontId="23" fillId="3" borderId="0" xfId="0" applyFont="1" applyFill="1" applyBorder="1" applyAlignment="1">
      <alignment horizontal="left" vertical="top" wrapText="1" indent="1"/>
    </xf>
    <xf numFmtId="0" fontId="11" fillId="0" borderId="0" xfId="0" applyFont="1" applyBorder="1" applyAlignment="1">
      <alignment horizontal="left" vertical="center" wrapText="1" indent="1"/>
    </xf>
    <xf numFmtId="0" fontId="4" fillId="2" borderId="0" xfId="0" applyFont="1" applyFill="1" applyBorder="1" applyAlignment="1">
      <alignment horizontal="left" vertical="center" wrapText="1" indent="1"/>
    </xf>
    <xf numFmtId="0" fontId="26" fillId="0" borderId="3" xfId="0" applyFont="1" applyBorder="1" applyAlignment="1">
      <alignment horizontal="right" vertical="center" wrapText="1" readingOrder="2"/>
    </xf>
    <xf numFmtId="0" fontId="11" fillId="0" borderId="3" xfId="0" applyFont="1" applyBorder="1" applyAlignment="1">
      <alignment horizontal="left" vertical="center" wrapText="1" indent="1"/>
    </xf>
    <xf numFmtId="0" fontId="5" fillId="0" borderId="3" xfId="0" applyFont="1" applyBorder="1" applyAlignment="1">
      <alignment horizontal="center" vertical="center" wrapText="1"/>
    </xf>
  </cellXfs>
  <cellStyles count="1">
    <cellStyle name="Normal" xfId="0" builtinId="0"/>
  </cellStyles>
  <dxfs count="17">
    <dxf>
      <font>
        <i/>
        <color rgb="FF9A9A94"/>
      </font>
      <fill>
        <patternFill>
          <bgColor rgb="FFF1F1EE"/>
        </patternFill>
      </fill>
    </dxf>
    <dxf>
      <font>
        <b/>
        <color rgb="FF7A5C1E"/>
      </font>
      <fill>
        <patternFill>
          <bgColor rgb="FFF4EAD2"/>
        </patternFill>
      </fill>
    </dxf>
    <dxf>
      <font>
        <i/>
        <color rgb="FF9A9A94"/>
      </font>
      <fill>
        <patternFill>
          <bgColor rgb="FFF1F1EE"/>
        </patternFill>
      </fill>
    </dxf>
    <dxf>
      <font>
        <color rgb="FF7A5C1E"/>
      </font>
      <fill>
        <patternFill>
          <bgColor rgb="FFF4EAD2"/>
        </patternFill>
      </fill>
    </dxf>
    <dxf>
      <font>
        <b/>
        <color rgb="FF183C32"/>
      </font>
      <fill>
        <patternFill>
          <bgColor rgb="FFE9EFE8"/>
        </patternFill>
      </fill>
    </dxf>
    <dxf>
      <font>
        <i/>
        <color rgb="FF9A9A94"/>
      </font>
      <fill>
        <patternFill>
          <bgColor rgb="FFF1F1EE"/>
        </patternFill>
      </fill>
    </dxf>
    <dxf>
      <font>
        <color rgb="FF7A5C1E"/>
      </font>
      <fill>
        <patternFill>
          <bgColor rgb="FFF4EAD2"/>
        </patternFill>
      </fill>
    </dxf>
    <dxf>
      <font>
        <b/>
        <color rgb="FF183C32"/>
      </font>
      <fill>
        <patternFill>
          <bgColor rgb="FFE9EFE8"/>
        </patternFill>
      </fill>
    </dxf>
    <dxf>
      <font>
        <i/>
        <color rgb="FF9A9A94"/>
      </font>
      <fill>
        <patternFill>
          <bgColor rgb="FFF1F1EE"/>
        </patternFill>
      </fill>
    </dxf>
    <dxf>
      <font>
        <color rgb="FF7A5C1E"/>
      </font>
      <fill>
        <patternFill>
          <bgColor rgb="FFF4EAD2"/>
        </patternFill>
      </fill>
    </dxf>
    <dxf>
      <font>
        <b/>
        <color rgb="FF183C32"/>
      </font>
      <fill>
        <patternFill>
          <bgColor rgb="FFE9EFE8"/>
        </patternFill>
      </fill>
    </dxf>
    <dxf>
      <border diagonalUp="0" diagonalDown="0">
        <left style="thin">
          <color rgb="FFFFFFFF"/>
        </left>
        <right style="thin">
          <color rgb="FFFFFFFF"/>
        </right>
        <top style="thin">
          <color rgb="FFF3F3F0"/>
        </top>
        <bottom style="thin">
          <color rgb="FFF3F3F0"/>
        </bottom>
      </border>
    </dxf>
    <dxf>
      <font>
        <i/>
        <color rgb="FF9A9A94"/>
      </font>
      <fill>
        <patternFill>
          <bgColor rgb="FFF1F1EE"/>
        </patternFill>
      </fill>
    </dxf>
    <dxf>
      <font>
        <color rgb="FF7A5C1E"/>
      </font>
      <fill>
        <patternFill>
          <bgColor rgb="FFF4EAD2"/>
        </patternFill>
      </fill>
    </dxf>
    <dxf>
      <font>
        <b/>
        <color rgb="FF183C32"/>
      </font>
      <fill>
        <patternFill>
          <bgColor rgb="FFE9EFE8"/>
        </patternFill>
      </fill>
    </dxf>
    <dxf>
      <font>
        <color rgb="FF9A9A94"/>
      </font>
      <fill>
        <patternFill>
          <bgColor rgb="FFECECE8"/>
        </patternFill>
      </fill>
    </dxf>
    <dxf>
      <font>
        <color rgb="FFFFFFFF"/>
      </font>
      <fill>
        <patternFill>
          <bgColor rgb="FFFFFFFF"/>
        </patternFill>
      </fill>
      <border diagonalUp="0" diagonalDown="0">
        <left style="thin">
          <color rgb="FFFFFFFF"/>
        </left>
        <right style="thin">
          <color rgb="FFFFFFFF"/>
        </right>
        <top style="thin">
          <color rgb="FFF3F3F0"/>
        </top>
        <bottom style="thin">
          <color rgb="FFF3F3F0"/>
        </bottom>
      </border>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7A3C"/>
      <rgbColor rgb="FF800080"/>
      <rgbColor rgb="FF008080"/>
      <rgbColor rgb="FFC9D4C6"/>
      <rgbColor rgb="FF878787"/>
      <rgbColor rgb="FF9999FF"/>
      <rgbColor rgb="FF993366"/>
      <rgbColor rgb="FFF7F4E9"/>
      <rgbColor rgb="FFE9EFE8"/>
      <rgbColor rgb="FF660066"/>
      <rgbColor rgb="FFC4A15A"/>
      <rgbColor rgb="FF0066CC"/>
      <rgbColor rgb="FFD9D9D9"/>
      <rgbColor rgb="FF000080"/>
      <rgbColor rgb="FFFF00FF"/>
      <rgbColor rgb="FFFFFF00"/>
      <rgbColor rgb="FF00FFFF"/>
      <rgbColor rgb="FF800080"/>
      <rgbColor rgb="FF800000"/>
      <rgbColor rgb="FF008080"/>
      <rgbColor rgb="FF0000FF"/>
      <rgbColor rgb="FF00CCFF"/>
      <rgbColor rgb="FFF1F1EE"/>
      <rgbColor rgb="FFECECE8"/>
      <rgbColor rgb="FFF4EAD2"/>
      <rgbColor rgb="FFD5DDD3"/>
      <rgbColor rgb="FFF3F3F0"/>
      <rgbColor rgb="FFCC99FF"/>
      <rgbColor rgb="FFE3D3A8"/>
      <rgbColor rgb="FF3366FF"/>
      <rgbColor rgb="FF33CCCC"/>
      <rgbColor rgb="FF99CC00"/>
      <rgbColor rgb="FFFFCC00"/>
      <rgbColor rgb="FFFF9900"/>
      <rgbColor rgb="FFFF6600"/>
      <rgbColor rgb="FF5F6B66"/>
      <rgbColor rgb="FF9A9A94"/>
      <rgbColor rgb="FF003366"/>
      <rgbColor rgb="FF6E8F7E"/>
      <rgbColor rgb="FF003300"/>
      <rgbColor rgb="FF333300"/>
      <rgbColor rgb="FF7A5C1E"/>
      <rgbColor rgb="FF993366"/>
      <rgbColor rgb="FF333399"/>
      <rgbColor rgb="FF183C32"/>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2" Type="http://schemas.openxmlformats.org/officeDocument/2006/relationships/worksheet" Target="worksheets/sheet8.xml"/><Relationship Id="rId13" Type="http://schemas.openxmlformats.org/officeDocument/2006/relationships/worksheet" Target="worksheets/sheet9.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fr-FR"/>
  <c:chart>
    <c:autoTitleDeleted val="1"/>
    <c:plotArea>
      <c:layout/>
      <c:radarChart>
        <c:radarStyle val="filled"/>
        <c:ser>
          <c:idx val="0"/>
          <c:order val="0"/>
          <c:spPr>
            <a:solidFill>
              <a:srgbClr val="E3D3A8"/>
            </a:solidFill>
            <a:ln w="31680">
              <a:solidFill>
                <a:srgbClr val="C4A15A"/>
              </a:solidFill>
              <a:round/>
            </a:ln>
          </c:spPr>
          <c:cat>
            <c:strRef>
              <c:f>CALCULS!$G$30:$G$33</c:f>
              <c:strCache>
                <c:ptCount val="4"/>
                <c:pt idx="0">
                  <c:v>Religion · aucune donnée</c:v>
                </c:pt>
                <c:pt idx="1">
                  <c:v>Nutrition · aucune donnée</c:v>
                </c:pt>
                <c:pt idx="2">
                  <c:v>Sommeil · aucune donnée</c:v>
                </c:pt>
                <c:pt idx="3">
                  <c:v>Sport · aucune donnée</c:v>
                </c:pt>
              </c:strCache>
            </c:strRef>
          </c:cat>
          <c:val>
            <c:numRef>
              <c:f>CALCULS!$H$30:$H$33</c:f>
              <c:numCache>
                <c:formatCode>0%</c:formatCode>
                <c:ptCount val="4"/>
                <c:pt idx="0">
                  <c:v>0</c:v>
                </c:pt>
                <c:pt idx="1">
                  <c:v>0</c:v>
                </c:pt>
                <c:pt idx="2">
                  <c:v>0</c:v>
                </c:pt>
                <c:pt idx="3">
                  <c:v>0</c:v>
                </c:pt>
              </c:numCache>
            </c:numRef>
          </c:val>
        </c:ser>
        <c:axId val="131040384"/>
        <c:axId val="131041920"/>
      </c:radarChart>
      <c:catAx>
        <c:axId val="131040384"/>
        <c:scaling>
          <c:orientation val="maxMin"/>
        </c:scaling>
        <c:axPos val="b"/>
        <c:numFmt formatCode="General" sourceLinked="1"/>
        <c:majorTickMark val="none"/>
        <c:tickLblPos val="nextTo"/>
        <c:spPr>
          <a:ln w="9360">
            <a:noFill/>
          </a:ln>
        </c:spPr>
        <c:txPr>
          <a:bodyPr/>
          <a:lstStyle/>
          <a:p>
            <a:pPr>
              <a:defRPr sz="1000" b="0" strike="noStrike" spc="-1">
                <a:solidFill>
                  <a:srgbClr val="000000"/>
                </a:solidFill>
                <a:latin typeface="Calibri"/>
              </a:defRPr>
            </a:pPr>
            <a:endParaRPr lang="fr-FR"/>
          </a:p>
        </c:txPr>
        <c:crossAx val="131041920"/>
        <c:crosses val="autoZero"/>
        <c:auto val="1"/>
        <c:lblAlgn val="ctr"/>
        <c:lblOffset val="100"/>
      </c:catAx>
      <c:valAx>
        <c:axId val="131041920"/>
        <c:scaling>
          <c:orientation val="minMax"/>
          <c:max val="1"/>
          <c:min val="0"/>
        </c:scaling>
        <c:axPos val="l"/>
        <c:majorGridlines>
          <c:spPr>
            <a:ln w="9360">
              <a:solidFill>
                <a:srgbClr val="C9D4C6"/>
              </a:solidFill>
              <a:round/>
            </a:ln>
          </c:spPr>
        </c:majorGridlines>
        <c:numFmt formatCode="0%" sourceLinked="0"/>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1040384"/>
        <c:crosses val="autoZero"/>
        <c:crossBetween val="midCat"/>
        <c:majorUnit val="0.25"/>
      </c:valAx>
      <c:spPr>
        <a:noFill/>
        <a:ln w="0">
          <a:noFill/>
        </a:ln>
      </c:spPr>
    </c:plotArea>
    <c:dispBlanksAs val="gap"/>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fr-FR"/>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Score global (/100)</a:t>
            </a:r>
          </a:p>
        </c:rich>
      </c:tx>
      <c:layout/>
      <c:spPr>
        <a:noFill/>
        <a:ln w="0">
          <a:noFill/>
        </a:ln>
      </c:spPr>
    </c:title>
    <c:plotArea>
      <c:layout/>
      <c:lineChart>
        <c:grouping val="standard"/>
        <c:ser>
          <c:idx val="0"/>
          <c:order val="0"/>
          <c:tx>
            <c:strRef>
              <c:f>'MA PROGRESSION'!$G$5</c:f>
              <c:strCache>
                <c:ptCount val="1"/>
                <c:pt idx="0">
                  <c:v>Score /100</c:v>
                </c:pt>
              </c:strCache>
            </c:strRef>
          </c:tx>
          <c:spPr>
            <a:ln w="34920">
              <a:solidFill>
                <a:srgbClr val="C4A15A"/>
              </a:solidFill>
              <a:round/>
            </a:ln>
          </c:spPr>
          <c:marker>
            <c:symbol val="circle"/>
            <c:size val="5"/>
            <c:spPr>
              <a:solidFill>
                <a:srgbClr val="C4A15A"/>
              </a:solidFill>
            </c:spPr>
          </c:marker>
          <c:cat>
            <c:strRef>
              <c:f>'MA PROGRESSION'!$B$6:$B$29</c:f>
              <c:strCache>
                <c:ptCount val="24"/>
                <c:pt idx="0">
                  <c:v>Semaine 1</c:v>
                </c:pt>
                <c:pt idx="1">
                  <c:v>Semaine 2</c:v>
                </c:pt>
                <c:pt idx="2">
                  <c:v>Semaine 3</c:v>
                </c:pt>
                <c:pt idx="3">
                  <c:v>Semaine 4</c:v>
                </c:pt>
                <c:pt idx="4">
                  <c:v>Semaine 5</c:v>
                </c:pt>
                <c:pt idx="5">
                  <c:v>Semaine 6</c:v>
                </c:pt>
                <c:pt idx="6">
                  <c:v>Semaine 7</c:v>
                </c:pt>
                <c:pt idx="7">
                  <c:v>Semaine 8</c:v>
                </c:pt>
                <c:pt idx="8">
                  <c:v>Semaine 9</c:v>
                </c:pt>
                <c:pt idx="9">
                  <c:v>Semaine 10</c:v>
                </c:pt>
                <c:pt idx="10">
                  <c:v>Semaine 11</c:v>
                </c:pt>
                <c:pt idx="11">
                  <c:v>Semaine 12</c:v>
                </c:pt>
                <c:pt idx="12">
                  <c:v>Semaine 13</c:v>
                </c:pt>
                <c:pt idx="13">
                  <c:v>Semaine 14</c:v>
                </c:pt>
                <c:pt idx="14">
                  <c:v>Semaine 15</c:v>
                </c:pt>
                <c:pt idx="15">
                  <c:v>Semaine 16</c:v>
                </c:pt>
                <c:pt idx="16">
                  <c:v>Semaine 17</c:v>
                </c:pt>
                <c:pt idx="17">
                  <c:v>Semaine 18</c:v>
                </c:pt>
                <c:pt idx="18">
                  <c:v>Semaine 19</c:v>
                </c:pt>
                <c:pt idx="19">
                  <c:v>Semaine 20</c:v>
                </c:pt>
                <c:pt idx="20">
                  <c:v>Semaine 21</c:v>
                </c:pt>
                <c:pt idx="21">
                  <c:v>Semaine 22</c:v>
                </c:pt>
                <c:pt idx="22">
                  <c:v>Semaine 23</c:v>
                </c:pt>
                <c:pt idx="23">
                  <c:v>Semaine 24</c:v>
                </c:pt>
              </c:strCache>
            </c:strRef>
          </c:cat>
          <c:val>
            <c:numRef>
              <c:f>'MA PROGRESSION'!$G$6:$G$29</c:f>
              <c:numCache>
                <c:formatCode>0</c:formatCode>
                <c:ptCount val="24"/>
              </c:numCache>
            </c:numRef>
          </c:val>
          <c:smooth val="1"/>
        </c:ser>
        <c:hiLowLines>
          <c:spPr>
            <a:ln w="0">
              <a:noFill/>
            </a:ln>
          </c:spPr>
        </c:hiLowLines>
        <c:marker val="1"/>
        <c:axId val="130968576"/>
        <c:axId val="131003136"/>
      </c:lineChart>
      <c:catAx>
        <c:axId val="130968576"/>
        <c:scaling>
          <c:orientation val="minMax"/>
        </c:scaling>
        <c:axPos val="b"/>
        <c:numFmt formatCode="General"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1003136"/>
        <c:crosses val="autoZero"/>
        <c:auto val="1"/>
        <c:lblAlgn val="ctr"/>
        <c:lblOffset val="100"/>
      </c:catAx>
      <c:valAx>
        <c:axId val="131003136"/>
        <c:scaling>
          <c:orientation val="minMax"/>
          <c:max val="100"/>
          <c:min val="0"/>
        </c:scaling>
        <c:axPos val="l"/>
        <c:majorGridlines>
          <c:spPr>
            <a:ln w="9360">
              <a:solidFill>
                <a:srgbClr val="878787"/>
              </a:solidFill>
              <a:round/>
            </a:ln>
          </c:spPr>
        </c:majorGridlines>
        <c:numFmt formatCode="0"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0968576"/>
        <c:crosses val="autoZero"/>
        <c:crossBetween val="between"/>
      </c:valAx>
      <c:spPr>
        <a:noFill/>
        <a:ln w="0">
          <a:noFill/>
        </a:ln>
      </c:spPr>
    </c:plotArea>
    <c:plotVisOnly val="1"/>
    <c:dispBlanksAs val="gap"/>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fr-FR"/>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Mes 4 piliers</a:t>
            </a:r>
          </a:p>
        </c:rich>
      </c:tx>
      <c:spPr>
        <a:noFill/>
        <a:ln w="0">
          <a:noFill/>
        </a:ln>
      </c:spPr>
    </c:title>
    <c:plotArea>
      <c:layout/>
      <c:lineChart>
        <c:grouping val="standard"/>
        <c:ser>
          <c:idx val="0"/>
          <c:order val="0"/>
          <c:tx>
            <c:strRef>
              <c:f>'MA PROGRESSION'!$C$5</c:f>
              <c:strCache>
                <c:ptCount val="1"/>
                <c:pt idx="0">
                  <c:v>Religion</c:v>
                </c:pt>
              </c:strCache>
            </c:strRef>
          </c:tx>
          <c:spPr>
            <a:ln w="25560">
              <a:solidFill>
                <a:srgbClr val="183C32"/>
              </a:solidFill>
              <a:round/>
            </a:ln>
          </c:spPr>
          <c:marker>
            <c:symbol val="circle"/>
            <c:size val="5"/>
            <c:spPr>
              <a:solidFill>
                <a:srgbClr val="183C32"/>
              </a:solidFill>
            </c:spPr>
          </c:marker>
          <c:cat>
            <c:strRef>
              <c:f>'MA PROGRESSION'!$B$6:$B$29</c:f>
              <c:strCache>
                <c:ptCount val="24"/>
                <c:pt idx="0">
                  <c:v>Semaine 1</c:v>
                </c:pt>
                <c:pt idx="1">
                  <c:v>Semaine 2</c:v>
                </c:pt>
                <c:pt idx="2">
                  <c:v>Semaine 3</c:v>
                </c:pt>
                <c:pt idx="3">
                  <c:v>Semaine 4</c:v>
                </c:pt>
                <c:pt idx="4">
                  <c:v>Semaine 5</c:v>
                </c:pt>
                <c:pt idx="5">
                  <c:v>Semaine 6</c:v>
                </c:pt>
                <c:pt idx="6">
                  <c:v>Semaine 7</c:v>
                </c:pt>
                <c:pt idx="7">
                  <c:v>Semaine 8</c:v>
                </c:pt>
                <c:pt idx="8">
                  <c:v>Semaine 9</c:v>
                </c:pt>
                <c:pt idx="9">
                  <c:v>Semaine 10</c:v>
                </c:pt>
                <c:pt idx="10">
                  <c:v>Semaine 11</c:v>
                </c:pt>
                <c:pt idx="11">
                  <c:v>Semaine 12</c:v>
                </c:pt>
                <c:pt idx="12">
                  <c:v>Semaine 13</c:v>
                </c:pt>
                <c:pt idx="13">
                  <c:v>Semaine 14</c:v>
                </c:pt>
                <c:pt idx="14">
                  <c:v>Semaine 15</c:v>
                </c:pt>
                <c:pt idx="15">
                  <c:v>Semaine 16</c:v>
                </c:pt>
                <c:pt idx="16">
                  <c:v>Semaine 17</c:v>
                </c:pt>
                <c:pt idx="17">
                  <c:v>Semaine 18</c:v>
                </c:pt>
                <c:pt idx="18">
                  <c:v>Semaine 19</c:v>
                </c:pt>
                <c:pt idx="19">
                  <c:v>Semaine 20</c:v>
                </c:pt>
                <c:pt idx="20">
                  <c:v>Semaine 21</c:v>
                </c:pt>
                <c:pt idx="21">
                  <c:v>Semaine 22</c:v>
                </c:pt>
                <c:pt idx="22">
                  <c:v>Semaine 23</c:v>
                </c:pt>
                <c:pt idx="23">
                  <c:v>Semaine 24</c:v>
                </c:pt>
              </c:strCache>
            </c:strRef>
          </c:cat>
          <c:val>
            <c:numRef>
              <c:f>'MA PROGRESSION'!$C$6:$C$29</c:f>
              <c:numCache>
                <c:formatCode>0%</c:formatCode>
                <c:ptCount val="24"/>
              </c:numCache>
            </c:numRef>
          </c:val>
          <c:smooth val="1"/>
        </c:ser>
        <c:ser>
          <c:idx val="1"/>
          <c:order val="1"/>
          <c:tx>
            <c:strRef>
              <c:f>'MA PROGRESSION'!$D$5</c:f>
              <c:strCache>
                <c:ptCount val="1"/>
                <c:pt idx="0">
                  <c:v>Nutrition</c:v>
                </c:pt>
              </c:strCache>
            </c:strRef>
          </c:tx>
          <c:spPr>
            <a:ln w="25560">
              <a:solidFill>
                <a:srgbClr val="C4A15A"/>
              </a:solidFill>
              <a:round/>
            </a:ln>
          </c:spPr>
          <c:marker>
            <c:symbol val="circle"/>
            <c:size val="5"/>
            <c:spPr>
              <a:solidFill>
                <a:srgbClr val="C4A15A"/>
              </a:solidFill>
            </c:spPr>
          </c:marker>
          <c:cat>
            <c:strRef>
              <c:f>'MA PROGRESSION'!$B$6:$B$29</c:f>
              <c:strCache>
                <c:ptCount val="24"/>
                <c:pt idx="0">
                  <c:v>Semaine 1</c:v>
                </c:pt>
                <c:pt idx="1">
                  <c:v>Semaine 2</c:v>
                </c:pt>
                <c:pt idx="2">
                  <c:v>Semaine 3</c:v>
                </c:pt>
                <c:pt idx="3">
                  <c:v>Semaine 4</c:v>
                </c:pt>
                <c:pt idx="4">
                  <c:v>Semaine 5</c:v>
                </c:pt>
                <c:pt idx="5">
                  <c:v>Semaine 6</c:v>
                </c:pt>
                <c:pt idx="6">
                  <c:v>Semaine 7</c:v>
                </c:pt>
                <c:pt idx="7">
                  <c:v>Semaine 8</c:v>
                </c:pt>
                <c:pt idx="8">
                  <c:v>Semaine 9</c:v>
                </c:pt>
                <c:pt idx="9">
                  <c:v>Semaine 10</c:v>
                </c:pt>
                <c:pt idx="10">
                  <c:v>Semaine 11</c:v>
                </c:pt>
                <c:pt idx="11">
                  <c:v>Semaine 12</c:v>
                </c:pt>
                <c:pt idx="12">
                  <c:v>Semaine 13</c:v>
                </c:pt>
                <c:pt idx="13">
                  <c:v>Semaine 14</c:v>
                </c:pt>
                <c:pt idx="14">
                  <c:v>Semaine 15</c:v>
                </c:pt>
                <c:pt idx="15">
                  <c:v>Semaine 16</c:v>
                </c:pt>
                <c:pt idx="16">
                  <c:v>Semaine 17</c:v>
                </c:pt>
                <c:pt idx="17">
                  <c:v>Semaine 18</c:v>
                </c:pt>
                <c:pt idx="18">
                  <c:v>Semaine 19</c:v>
                </c:pt>
                <c:pt idx="19">
                  <c:v>Semaine 20</c:v>
                </c:pt>
                <c:pt idx="20">
                  <c:v>Semaine 21</c:v>
                </c:pt>
                <c:pt idx="21">
                  <c:v>Semaine 22</c:v>
                </c:pt>
                <c:pt idx="22">
                  <c:v>Semaine 23</c:v>
                </c:pt>
                <c:pt idx="23">
                  <c:v>Semaine 24</c:v>
                </c:pt>
              </c:strCache>
            </c:strRef>
          </c:cat>
          <c:val>
            <c:numRef>
              <c:f>'MA PROGRESSION'!$D$6:$D$29</c:f>
              <c:numCache>
                <c:formatCode>0%</c:formatCode>
                <c:ptCount val="24"/>
              </c:numCache>
            </c:numRef>
          </c:val>
          <c:smooth val="1"/>
        </c:ser>
        <c:ser>
          <c:idx val="2"/>
          <c:order val="2"/>
          <c:tx>
            <c:strRef>
              <c:f>'MA PROGRESSION'!$E$5</c:f>
              <c:strCache>
                <c:ptCount val="1"/>
                <c:pt idx="0">
                  <c:v>Sommeil</c:v>
                </c:pt>
              </c:strCache>
            </c:strRef>
          </c:tx>
          <c:spPr>
            <a:ln w="25560">
              <a:solidFill>
                <a:srgbClr val="6E8F7E"/>
              </a:solidFill>
              <a:round/>
            </a:ln>
          </c:spPr>
          <c:marker>
            <c:symbol val="circle"/>
            <c:size val="5"/>
            <c:spPr>
              <a:solidFill>
                <a:srgbClr val="6E8F7E"/>
              </a:solidFill>
            </c:spPr>
          </c:marker>
          <c:cat>
            <c:strRef>
              <c:f>'MA PROGRESSION'!$B$6:$B$29</c:f>
              <c:strCache>
                <c:ptCount val="24"/>
                <c:pt idx="0">
                  <c:v>Semaine 1</c:v>
                </c:pt>
                <c:pt idx="1">
                  <c:v>Semaine 2</c:v>
                </c:pt>
                <c:pt idx="2">
                  <c:v>Semaine 3</c:v>
                </c:pt>
                <c:pt idx="3">
                  <c:v>Semaine 4</c:v>
                </c:pt>
                <c:pt idx="4">
                  <c:v>Semaine 5</c:v>
                </c:pt>
                <c:pt idx="5">
                  <c:v>Semaine 6</c:v>
                </c:pt>
                <c:pt idx="6">
                  <c:v>Semaine 7</c:v>
                </c:pt>
                <c:pt idx="7">
                  <c:v>Semaine 8</c:v>
                </c:pt>
                <c:pt idx="8">
                  <c:v>Semaine 9</c:v>
                </c:pt>
                <c:pt idx="9">
                  <c:v>Semaine 10</c:v>
                </c:pt>
                <c:pt idx="10">
                  <c:v>Semaine 11</c:v>
                </c:pt>
                <c:pt idx="11">
                  <c:v>Semaine 12</c:v>
                </c:pt>
                <c:pt idx="12">
                  <c:v>Semaine 13</c:v>
                </c:pt>
                <c:pt idx="13">
                  <c:v>Semaine 14</c:v>
                </c:pt>
                <c:pt idx="14">
                  <c:v>Semaine 15</c:v>
                </c:pt>
                <c:pt idx="15">
                  <c:v>Semaine 16</c:v>
                </c:pt>
                <c:pt idx="16">
                  <c:v>Semaine 17</c:v>
                </c:pt>
                <c:pt idx="17">
                  <c:v>Semaine 18</c:v>
                </c:pt>
                <c:pt idx="18">
                  <c:v>Semaine 19</c:v>
                </c:pt>
                <c:pt idx="19">
                  <c:v>Semaine 20</c:v>
                </c:pt>
                <c:pt idx="20">
                  <c:v>Semaine 21</c:v>
                </c:pt>
                <c:pt idx="21">
                  <c:v>Semaine 22</c:v>
                </c:pt>
                <c:pt idx="22">
                  <c:v>Semaine 23</c:v>
                </c:pt>
                <c:pt idx="23">
                  <c:v>Semaine 24</c:v>
                </c:pt>
              </c:strCache>
            </c:strRef>
          </c:cat>
          <c:val>
            <c:numRef>
              <c:f>'MA PROGRESSION'!$E$6:$E$29</c:f>
              <c:numCache>
                <c:formatCode>0%</c:formatCode>
                <c:ptCount val="24"/>
              </c:numCache>
            </c:numRef>
          </c:val>
          <c:smooth val="1"/>
        </c:ser>
        <c:ser>
          <c:idx val="3"/>
          <c:order val="3"/>
          <c:tx>
            <c:strRef>
              <c:f>'MA PROGRESSION'!$F$5</c:f>
              <c:strCache>
                <c:ptCount val="1"/>
                <c:pt idx="0">
                  <c:v>Sport</c:v>
                </c:pt>
              </c:strCache>
            </c:strRef>
          </c:tx>
          <c:spPr>
            <a:ln w="25560">
              <a:solidFill>
                <a:srgbClr val="9C7A3C"/>
              </a:solidFill>
              <a:round/>
            </a:ln>
          </c:spPr>
          <c:marker>
            <c:symbol val="circle"/>
            <c:size val="5"/>
            <c:spPr>
              <a:solidFill>
                <a:srgbClr val="9C7A3C"/>
              </a:solidFill>
            </c:spPr>
          </c:marker>
          <c:cat>
            <c:strRef>
              <c:f>'MA PROGRESSION'!$B$6:$B$29</c:f>
              <c:strCache>
                <c:ptCount val="24"/>
                <c:pt idx="0">
                  <c:v>Semaine 1</c:v>
                </c:pt>
                <c:pt idx="1">
                  <c:v>Semaine 2</c:v>
                </c:pt>
                <c:pt idx="2">
                  <c:v>Semaine 3</c:v>
                </c:pt>
                <c:pt idx="3">
                  <c:v>Semaine 4</c:v>
                </c:pt>
                <c:pt idx="4">
                  <c:v>Semaine 5</c:v>
                </c:pt>
                <c:pt idx="5">
                  <c:v>Semaine 6</c:v>
                </c:pt>
                <c:pt idx="6">
                  <c:v>Semaine 7</c:v>
                </c:pt>
                <c:pt idx="7">
                  <c:v>Semaine 8</c:v>
                </c:pt>
                <c:pt idx="8">
                  <c:v>Semaine 9</c:v>
                </c:pt>
                <c:pt idx="9">
                  <c:v>Semaine 10</c:v>
                </c:pt>
                <c:pt idx="10">
                  <c:v>Semaine 11</c:v>
                </c:pt>
                <c:pt idx="11">
                  <c:v>Semaine 12</c:v>
                </c:pt>
                <c:pt idx="12">
                  <c:v>Semaine 13</c:v>
                </c:pt>
                <c:pt idx="13">
                  <c:v>Semaine 14</c:v>
                </c:pt>
                <c:pt idx="14">
                  <c:v>Semaine 15</c:v>
                </c:pt>
                <c:pt idx="15">
                  <c:v>Semaine 16</c:v>
                </c:pt>
                <c:pt idx="16">
                  <c:v>Semaine 17</c:v>
                </c:pt>
                <c:pt idx="17">
                  <c:v>Semaine 18</c:v>
                </c:pt>
                <c:pt idx="18">
                  <c:v>Semaine 19</c:v>
                </c:pt>
                <c:pt idx="19">
                  <c:v>Semaine 20</c:v>
                </c:pt>
                <c:pt idx="20">
                  <c:v>Semaine 21</c:v>
                </c:pt>
                <c:pt idx="21">
                  <c:v>Semaine 22</c:v>
                </c:pt>
                <c:pt idx="22">
                  <c:v>Semaine 23</c:v>
                </c:pt>
                <c:pt idx="23">
                  <c:v>Semaine 24</c:v>
                </c:pt>
              </c:strCache>
            </c:strRef>
          </c:cat>
          <c:val>
            <c:numRef>
              <c:f>'MA PROGRESSION'!$F$6:$F$29</c:f>
              <c:numCache>
                <c:formatCode>0%</c:formatCode>
                <c:ptCount val="24"/>
              </c:numCache>
            </c:numRef>
          </c:val>
          <c:smooth val="1"/>
        </c:ser>
        <c:hiLowLines>
          <c:spPr>
            <a:ln w="0">
              <a:noFill/>
            </a:ln>
          </c:spPr>
        </c:hiLowLines>
        <c:marker val="1"/>
        <c:axId val="131396352"/>
        <c:axId val="131397888"/>
      </c:lineChart>
      <c:catAx>
        <c:axId val="131396352"/>
        <c:scaling>
          <c:orientation val="minMax"/>
        </c:scaling>
        <c:axPos val="b"/>
        <c:numFmt formatCode="General"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1397888"/>
        <c:crosses val="autoZero"/>
        <c:auto val="1"/>
        <c:lblAlgn val="ctr"/>
        <c:lblOffset val="100"/>
      </c:catAx>
      <c:valAx>
        <c:axId val="131397888"/>
        <c:scaling>
          <c:orientation val="minMax"/>
          <c:max val="1"/>
          <c:min val="0"/>
        </c:scaling>
        <c:axPos val="l"/>
        <c:majorGridlines>
          <c:spPr>
            <a:ln w="9360">
              <a:solidFill>
                <a:srgbClr val="878787"/>
              </a:solidFill>
              <a:round/>
            </a:ln>
          </c:spPr>
        </c:majorGridlines>
        <c:numFmt formatCode="0%" sourceLinked="0"/>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1396352"/>
        <c:crosses val="autoZero"/>
        <c:crossBetween val="between"/>
      </c:valAx>
      <c:spPr>
        <a:noFill/>
        <a:ln w="0">
          <a:noFill/>
        </a:ln>
      </c:spPr>
    </c:plotArea>
    <c:legend>
      <c:legendPos val="b"/>
      <c:spPr>
        <a:noFill/>
        <a:ln w="0">
          <a:noFill/>
        </a:ln>
      </c:spPr>
      <c:txPr>
        <a:bodyPr/>
        <a:lstStyle/>
        <a:p>
          <a:pPr>
            <a:defRPr sz="1000" b="0" strike="noStrike" spc="-1">
              <a:solidFill>
                <a:srgbClr val="000000"/>
              </a:solidFill>
              <a:latin typeface="Calibri"/>
            </a:defRPr>
          </a:pPr>
          <a:endParaRPr lang="fr-FR"/>
        </a:p>
      </c:txPr>
    </c:legend>
    <c:plotVisOnly val="1"/>
    <c:dispBlanksAs val="gap"/>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10</xdr:col>
      <xdr:colOff>85680</xdr:colOff>
      <xdr:row>40</xdr:row>
      <xdr:rowOff>149760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7</xdr:col>
      <xdr:colOff>1115280</xdr:colOff>
      <xdr:row>44</xdr:row>
      <xdr:rowOff>32400</xdr:rowOff>
    </xdr:to>
    <xdr:graphicFrame macro="">
      <xdr:nvGraphicFramePr>
        <xdr:cNvPr id="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46</xdr:row>
      <xdr:rowOff>0</xdr:rowOff>
    </xdr:from>
    <xdr:to>
      <xdr:col>7</xdr:col>
      <xdr:colOff>1115280</xdr:colOff>
      <xdr:row>62</xdr:row>
      <xdr:rowOff>11520</xdr:rowOff>
    </xdr:to>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pageSetUpPr fitToPage="1"/>
  </sheetPr>
  <dimension ref="B1:C68"/>
  <sheetViews>
    <sheetView showGridLines="0" tabSelected="1" zoomScaleNormal="100" workbookViewId="0">
      <selection activeCell="C66" sqref="C66"/>
    </sheetView>
  </sheetViews>
  <sheetFormatPr baseColWidth="10" defaultColWidth="8.7109375" defaultRowHeight="15"/>
  <cols>
    <col min="1" max="1" width="2" customWidth="1"/>
    <col min="2" max="2" width="6" customWidth="1"/>
    <col min="3" max="3" width="96" customWidth="1"/>
  </cols>
  <sheetData>
    <row r="1" ht="39.75" customHeight="1">
      <c r="B1" s="13" t="s">
        <v>0</v>
      </c>
      <c r="C1" s="13"/>
    </row>
    <row r="2" ht="21.75" customHeight="1">
      <c r="B2" s="12" t="s">
        <v>1</v>
      </c>
      <c r="C2" s="12"/>
    </row>
    <row r="5" ht="25.5" customHeight="1">
      <c r="B5" s="11" t="inlineStr">
        <is>
          <t xml:space="preserve">BIENVENUE : TON PARCOURS DE 24 SEMAINES VERS LE RAMADAN</t>
        </is>
      </c>
      <c r="C5" s="11"/>
    </row>
    <row r="6" ht="53.6" customHeight="1">
      <c r="B6" s="14" t="inlineStr">
        <is>
          <t xml:space="preserve">•</t>
        </is>
      </c>
      <c r="C6" s="15" t="inlineStr">
        <is>
          <t xml:space="preserve">Cet outil t'accompagne pendant 24 semaines (environ 6 mois) pour installer, semaine après semaine, des habitudes régulières pour ta foi et pour ton corps, afin d'arriver au Ramadan prêt. Il mesure ta régularité, jamais ta sincérité ni ta valeur auprès d'Allah.</t>
        </is>
      </c>
    </row>
    <row r="8" ht="25.5" customHeight="1">
      <c r="B8" s="11" t="inlineStr">
        <is>
          <t xml:space="preserve">CE QUE CONTIENT CE FICHIER</t>
        </is>
      </c>
      <c r="C8" s="11"/>
    </row>
    <row r="9" ht="40.4" customHeight="1">
      <c r="B9" s="14" t="inlineStr">
        <is>
          <t xml:space="preserve">•</t>
        </is>
      </c>
      <c r="C9" s="15" t="inlineStr">
        <is>
          <t xml:space="preserve">MON SUIVI QUOTIDIEN : c'est là que tu remplis ta journée (tes missions, ton eau, tes repas, ton sommeil, ton sport). 2 minutes chaque soir.</t>
        </is>
      </c>
    </row>
    <row r="10" ht="27.2" customHeight="1">
      <c r="B10" s="14" t="inlineStr">
        <is>
          <t xml:space="preserve">•</t>
        </is>
      </c>
      <c r="C10" s="15" t="inlineStr">
        <is>
          <t xml:space="preserve">MON BILAN RIJAL FIT : ton score, ton radar et ton analyse de la semaine, calculés automatiquement.</t>
        </is>
      </c>
    </row>
    <row r="11" ht="27.2" customHeight="1">
      <c r="B11" s="14" t="inlineStr">
        <is>
          <t xml:space="preserve">•</t>
        </is>
      </c>
      <c r="C11" s="15" t="inlineStr">
        <is>
          <t xml:space="preserve">MA PROGRESSION : ta courbe sur 24 semaines.</t>
        </is>
      </c>
    </row>
    <row r="12" ht="40.4" customHeight="1">
      <c r="B12" s="14" t="inlineStr">
        <is>
          <t xml:space="preserve">•</t>
        </is>
      </c>
      <c r="C12" s="15" t="inlineStr">
        <is>
          <t xml:space="preserve">MES MISSIONS : les 30 missions du programme, avec comment les faire, le hadith et la récompense de chacune.</t>
        </is>
      </c>
    </row>
    <row r="13" ht="27.2" customHeight="1">
      <c r="B13" s="14" t="inlineStr">
        <is>
          <t xml:space="preserve">•</t>
        </is>
      </c>
      <c r="C13" s="15" t="inlineStr">
        <is>
          <t xml:space="preserve">VERSETS : 10 versets par semaine, avec leur traduction. Ta semaine en cours est surlignée.</t>
        </is>
      </c>
    </row>
    <row r="14" ht="27.2" customHeight="1">
      <c r="B14" s="14" t="inlineStr">
        <is>
          <t xml:space="preserve">•</t>
        </is>
      </c>
      <c r="C14" s="15" t="inlineStr">
        <is>
          <t xml:space="preserve">MISSIONS : l'espace du coach, pour modifier ou ajouter des missions.</t>
        </is>
      </c>
    </row>
    <row r="16" ht="25.5" customHeight="1">
      <c r="B16" s="11" t="inlineStr">
        <is>
          <t xml:space="preserve">COMMENT SE DÉROULE LE PROGRAMME</t>
        </is>
      </c>
      <c r="C16" s="11"/>
    </row>
    <row r="17" ht="40.4" customHeight="1">
      <c r="B17" s="16" t="inlineStr">
        <is>
          <t xml:space="preserve">1</t>
        </is>
      </c>
      <c r="C17" s="15" t="inlineStr">
        <is>
          <t xml:space="preserve">Semaine 1 : une nouvelle mission chaque jour (J1 à J7). Tu installes 7 habitudes en 7 jours et tu les gardes toutes.</t>
        </is>
      </c>
    </row>
    <row r="18" ht="40.4" customHeight="1">
      <c r="B18" s="16" t="inlineStr">
        <is>
          <t xml:space="preserve">2</t>
        </is>
      </c>
      <c r="C18" s="15" t="inlineStr">
        <is>
          <t xml:space="preserve">Semaines 2 à 24 : une seule nouvelle mission par semaine, le premier jour de la semaine. Elle apparaît seule dans ton suivi. À la fin, tu tiens 30 habitudes.</t>
        </is>
      </c>
    </row>
    <row r="19" ht="27.2" customHeight="1">
      <c r="B19" s="16" t="inlineStr">
        <is>
          <t xml:space="preserve">3</t>
        </is>
      </c>
      <c r="C19" s="15" t="inlineStr">
        <is>
          <t xml:space="preserve">Chaque semaine : 10 versets à lire, relire et méditer dans l'onglet VERSETS.</t>
        </is>
      </c>
    </row>
    <row r="20" ht="40.4" customHeight="1">
      <c r="B20" s="16" t="inlineStr">
        <is>
          <t xml:space="preserve">4</t>
        </is>
      </c>
      <c r="C20" s="15" t="inlineStr">
        <is>
          <t xml:space="preserve">Tu avances à ton rythme : si une semaine est difficile, garde simplement tes habitudes sans te juger. Mieux vaut peu et régulier que beaucoup et abandonné.</t>
        </is>
      </c>
    </row>
    <row r="22" ht="25.5" customHeight="1">
      <c r="B22" s="11" t="inlineStr">
        <is>
          <t xml:space="preserve">AU DÉMARRAGE (une seule fois, 5 minutes)</t>
        </is>
      </c>
      <c r="C22" s="11"/>
    </row>
    <row r="23" ht="53.6" customHeight="1">
      <c r="B23" s="16" t="inlineStr">
        <is>
          <t xml:space="preserve">1</t>
        </is>
      </c>
      <c r="C23" s="15" t="inlineStr">
        <is>
          <t xml:space="preserve">Onglet MON SUIVI QUOTIDIEN : écris ton nom, la date de ton premier jour (Jour 1) et la date de début de ta semaine. Pour la semaine 1, c'est la même date que le Jour 1. Pour la semaine 2, tu ajoutes 7 jours, et ainsi de suite.</t>
        </is>
      </c>
    </row>
    <row r="24" ht="40.4" customHeight="1">
      <c r="B24" s="16" t="inlineStr">
        <is>
          <t xml:space="preserve">2</t>
        </is>
      </c>
      <c r="C24" s="15" t="inlineStr">
        <is>
          <t xml:space="preserve">Règle tes objectifs chiffrés (eau, repas, sommeil, coucher, activité) selon tes capacités. Ils ne sont pas les mêmes pour tout le monde, et c'est normal.</t>
        </is>
      </c>
    </row>
    <row r="25" ht="40.4" customHeight="1">
      <c r="B25" s="16" t="inlineStr">
        <is>
          <t xml:space="preserve">3</t>
        </is>
      </c>
      <c r="C25" s="15" t="inlineStr">
        <is>
          <t xml:space="preserve">Ouvre MES MISSIONS pour voir le programme complet, et VERSETS pour lire les versets de ta première semaine.</t>
        </is>
      </c>
    </row>
    <row r="27" ht="25.5" customHeight="1">
      <c r="B27" s="11" t="inlineStr">
        <is>
          <t xml:space="preserve">CHAQUE SOIR (2 minutes)</t>
        </is>
      </c>
      <c r="C27" s="11"/>
    </row>
    <row r="28" ht="40.4" customHeight="1">
      <c r="B28" s="16" t="inlineStr">
        <is>
          <t xml:space="preserve">1</t>
        </is>
      </c>
      <c r="C28" s="15" t="inlineStr">
        <is>
          <t xml:space="preserve">Dans MON SUIVI QUOTIDIEN, remplis uniquement les cellules ivoire à bordure dorée : liste déroulante (Fait / Pas fait / N/A, Oui / Non) et petits nombres.</t>
        </is>
      </c>
    </row>
    <row r="29" ht="53.6" customHeight="1">
      <c r="B29" s="16" t="inlineStr">
        <is>
          <t xml:space="preserve">2</t>
        </is>
      </c>
      <c r="C29" s="15" t="inlineStr">
        <is>
          <t xml:space="preserve">Pour chaque mission du jour, choisis Fait, Pas fait ou N/A. Une mission qui ne concerne pas ce jour-là (jeûne du lundi ou du jeudi, prière de nuit, prière en groupe en voyage, maladie…) se marque N/A : elle n'est pas comptée contre toi.</t>
        </is>
      </c>
    </row>
    <row r="30" ht="27.2" customHeight="1">
      <c r="B30" s="16" t="inlineStr">
        <is>
          <t xml:space="preserve">3</t>
        </is>
      </c>
      <c r="C30" s="15" t="inlineStr">
        <is>
          <t xml:space="preserve">Relis un ou deux versets de ta semaine avant de dormir.</t>
        </is>
      </c>
    </row>
    <row r="32" ht="25.5" customHeight="1">
      <c r="B32" s="11" t="inlineStr">
        <is>
          <t xml:space="preserve">CHAQUE FIN DE SEMAINE (5 minutes)</t>
        </is>
      </c>
      <c r="C32" s="11"/>
    </row>
    <row r="33" ht="40.4" customHeight="1">
      <c r="B33" s="16" t="inlineStr">
        <is>
          <t xml:space="preserve">1</t>
        </is>
      </c>
      <c r="C33" s="15" t="inlineStr">
        <is>
          <t xml:space="preserve">Ouvre MON BILAN RIJAL FIT : score, analyse, et mission de la semaine suivante s'affichent automatiquement.</t>
        </is>
      </c>
    </row>
    <row r="34" ht="40.4" customHeight="1">
      <c r="B34" s="16" t="inlineStr">
        <is>
          <t xml:space="preserve">2</t>
        </is>
      </c>
      <c r="C34" s="15" t="inlineStr">
        <is>
          <t xml:space="preserve">Recopie la ligne « À reporter » du bilan dans MA PROGRESSION, sur la ligne de ta semaine (Collage spécial › Valeurs), et écris ce que tu retiens.</t>
        </is>
      </c>
    </row>
    <row r="35" ht="66.8" customHeight="1">
      <c r="B35" s="16" t="inlineStr">
        <is>
          <t xml:space="preserve">3</t>
        </is>
      </c>
      <c r="C35" s="15" t="inlineStr">
        <is>
          <t xml:space="preserve">Prépare la semaine suivante : enregistre une copie du fichier (ex. « Rijal Fit - Semaine 3 »), vide la saisie (Excel ordinateur : clique dans la zone Nom, en haut à gauche au-dessus de la colonne A, tape SAISIES_SEMAINE, Entrée, puis touche Suppr), puis ajoute 7 jours à la date de début de semaine. La nouvelle mission apparaît toute seule.</t>
        </is>
      </c>
    </row>
    <row r="37" ht="25.5" customHeight="1">
      <c r="B37" s="11" t="inlineStr">
        <is>
          <t xml:space="preserve">LES RÈGLES DU JEU</t>
        </is>
      </c>
      <c r="C37" s="11"/>
    </row>
    <row r="38" ht="27.2" customHeight="1">
      <c r="B38" s="14" t="inlineStr">
        <is>
          <t xml:space="preserve">•</t>
        </is>
      </c>
      <c r="C38" s="15" t="inlineStr">
        <is>
          <t xml:space="preserve">Case vide = donnée manquante, jamais un échec. Elle n'est pas comptée.</t>
        </is>
      </c>
    </row>
    <row r="39" ht="27.2" customHeight="1">
      <c r="B39" s="14" t="inlineStr">
        <is>
          <t xml:space="preserve">•</t>
        </is>
      </c>
      <c r="C39" s="15" t="inlineStr">
        <is>
          <t xml:space="preserve">N/A = non applicable (voyage, maladie, jour sans objet). Pas de pénalité.</t>
        </is>
      </c>
    </row>
    <row r="40" ht="27.2" customHeight="1">
      <c r="B40" s="14" t="inlineStr">
        <is>
          <t xml:space="preserve">•</t>
        </is>
      </c>
      <c r="C40" s="15" t="inlineStr">
        <is>
          <t xml:space="preserve">Case grisée dans la partie Religion = mission pas encore introduite ce jour-là. Elle n'est pas comptée.</t>
        </is>
      </c>
    </row>
    <row r="41" ht="40.4" customHeight="1">
      <c r="B41" s="14" t="inlineStr">
        <is>
          <t xml:space="preserve">•</t>
        </is>
      </c>
      <c r="C41" s="15" t="inlineStr">
        <is>
          <t xml:space="preserve">Les missions s'ajoutent automatiquement dès leur jour d'introduction et restent ensuite : tu conserves les habitudes précédentes.</t>
        </is>
      </c>
    </row>
    <row r="42" ht="40.4" customHeight="1">
      <c r="B42" s="14" t="inlineStr">
        <is>
          <t xml:space="preserve">•</t>
        </is>
      </c>
      <c r="C42" s="15" t="inlineStr">
        <is>
          <t xml:space="preserve">Bilan complet : il faut un nombre minimum de jours renseignés dans chaque pilier (réglé par le coach, 4 jours sur 7 par défaut). Sinon le bilan est « incomplet » et le score global ne s'affiche pas.</t>
        </is>
      </c>
    </row>
    <row r="44" ht="25.5" customHeight="1">
      <c r="B44" s="11" t="inlineStr">
        <is>
          <t xml:space="preserve">LA MÉTHODE 5-2-2-1</t>
        </is>
      </c>
      <c r="C44" s="11"/>
    </row>
    <row r="45" ht="40.4" customHeight="1">
      <c r="B45" s="14" t="inlineStr">
        <is>
          <t xml:space="preserve">•</t>
        </is>
      </c>
      <c r="C45" s="15" t="inlineStr">
        <is>
          <t xml:space="preserve">Score global /100 = Religion × 0,50 + Nutrition × 0,20 + Sommeil × 0,20 + Sport × 0,10. Ces coefficients sont pédagogiques et propres à la méthode Rijal Fit : ils ne classent pas la valeur religieuse des actes.</t>
        </is>
      </c>
    </row>
    <row r="46" ht="40.4" customHeight="1">
      <c r="B46" s="14" t="inlineStr">
        <is>
          <t xml:space="preserve">•</t>
        </is>
      </c>
      <c r="C46" s="15" t="inlineStr">
        <is>
          <t xml:space="preserve">Religion : missions faites / missions actives renseignées. Obligations et habitudes recommandées sont affichées séparément dans le détail du bilan.</t>
        </is>
      </c>
    </row>
    <row r="47" ht="40.4" customHeight="1">
      <c r="B47" s="14" t="inlineStr">
        <is>
          <t xml:space="preserve">•</t>
        </is>
      </c>
      <c r="C47" s="15" t="inlineStr">
        <is>
          <t xml:space="preserve">Nutrition : moyenne de l'hydratation (vs ton objectif), des repas équilibrés (vs ton objectif) et de la régularité des horaires de repas.</t>
        </is>
      </c>
    </row>
    <row r="48" ht="40.4" customHeight="1">
      <c r="B48" s="14" t="inlineStr">
        <is>
          <t xml:space="preserve">•</t>
        </is>
      </c>
      <c r="C48" s="15" t="inlineStr">
        <is>
          <t xml:space="preserve">Sommeil : moyenne de la durée (vs ton objectif), d'un coucher dans ta plage horaire et de ta routine de récupération.</t>
        </is>
      </c>
    </row>
    <row r="49" ht="40.4" customHeight="1">
      <c r="B49" s="14" t="inlineStr">
        <is>
          <t xml:space="preserve">•</t>
        </is>
      </c>
      <c r="C49" s="15" t="inlineStr">
        <is>
          <t xml:space="preserve">Sport : moyenne des minutes (vs ton objectif), des séances prévues réalisées et de la régularité de la semaine (jours actifs vs ton objectif).</t>
        </is>
      </c>
    </row>
    <row r="50" ht="40.4" customHeight="1">
      <c r="B50" s="14" t="inlineStr">
        <is>
          <t xml:space="preserve">•</t>
        </is>
      </c>
      <c r="C50" s="15" t="inlineStr">
        <is>
          <t xml:space="preserve">Le radar montre les 4 taux bruts, sans coefficient. Un pilier sans donnée apparaît à 0 avec la mention « aucune donnée » : rien n'est inventé.</t>
        </is>
      </c>
    </row>
    <row r="52" ht="25.5" customHeight="1">
      <c r="B52" s="11" t="inlineStr">
        <is>
          <t xml:space="preserve">FORMATS DE SAISIE</t>
        </is>
      </c>
      <c r="C52" s="11"/>
    </row>
    <row r="53" ht="40.4" customHeight="1">
      <c r="B53" s="14" t="inlineStr">
        <is>
          <t xml:space="preserve">•</t>
        </is>
      </c>
      <c r="C53" s="15" t="inlineStr">
        <is>
          <t xml:space="preserve">Dates : 02/11/2026   ·   Heures de sommeil : 7,5 (= 7 h 30)   ·   Heure de coucher : 23:15   ·   Litres : 1,5   ·   Minutes : 30</t>
        </is>
      </c>
    </row>
    <row r="54" ht="27.2" customHeight="1">
      <c r="B54" s="14" t="inlineStr">
        <is>
          <t xml:space="preserve">•</t>
        </is>
      </c>
      <c r="C54" s="15" t="inlineStr">
        <is>
          <t xml:space="preserve">Jour de repos prévu : laisse les minutes vides et choisis « Séance prévue : Non ».</t>
        </is>
      </c>
    </row>
    <row r="56" ht="25.5" customHeight="1">
      <c r="B56" s="11" t="inlineStr">
        <is>
          <t xml:space="preserve">TU COMMENCES EN RETARD, OU TU AS MOINS DE 24 SEMAINES AVANT LE RAMADAN ?</t>
        </is>
      </c>
      <c r="C56" s="11"/>
    </row>
    <row r="57" ht="40.4" customHeight="1">
      <c r="B57" s="14" t="inlineStr">
        <is>
          <t xml:space="preserve">•</t>
        </is>
      </c>
      <c r="C57" s="15" t="inlineStr">
        <is>
          <t xml:space="preserve">Commence quand même : les habitudes que tu installes t'accompagnent pendant le Ramadan et après. Ne saute aucune mission.</t>
        </is>
      </c>
    </row>
    <row r="58" ht="40.4" customHeight="1">
      <c r="B58" s="14" t="inlineStr">
        <is>
          <t xml:space="preserve">•</t>
        </is>
      </c>
      <c r="C58" s="15" t="inlineStr">
        <is>
          <t xml:space="preserve">Si tu veux arriver au Ramadan avec les 30 missions, demande à ton coach de rapprocher les jours d'introduction dans l'onglet MISSIONS (par exemple deux nouvelles missions par semaine).</t>
        </is>
      </c>
    </row>
    <row r="60" ht="25.5" customHeight="1">
      <c r="B60" s="11" t="inlineStr">
        <is>
          <t xml:space="preserve">POUR LE COACH</t>
        </is>
      </c>
      <c r="C60" s="11"/>
    </row>
    <row r="61" ht="66.8" customHeight="1">
      <c r="B61" s="14" t="inlineStr">
        <is>
          <t xml:space="preserve">•</t>
        </is>
      </c>
      <c r="C61" s="15" t="inlineStr">
        <is>
          <t xml:space="preserve">Onglet MISSIONS : jour d'introduction, mission, nature, conseil, récompense (hadith) et source. 40 lignes disponibles, 30 utilisées. Les onglets MES MISSIONS et VERSETS se mettent à jour à partir de cet onglet (les versets se modifient directement dans VERSETS). Réglage du seuil de bilan complet en haut de l'onglet MISSIONS.</t>
        </is>
      </c>
    </row>
    <row r="62" ht="40.4" customHeight="1">
      <c r="B62" s="14" t="inlineStr">
        <is>
          <t xml:space="preserve">•</t>
        </is>
      </c>
      <c r="C62" s="15" t="inlineStr">
        <is>
          <t xml:space="preserve">Pour modifier un verset ou la mise en page, retire la protection : Révision › Ôter la protection de la feuille (sans mot de passe). Elle sert seulement à éviter d'effacer une formule par erreur.</t>
        </is>
      </c>
    </row>
    <row r="63" ht="40.4" customHeight="1">
      <c r="B63" s="14" t="inlineStr">
        <is>
          <t xml:space="preserve">•</t>
        </is>
      </c>
      <c r="C63" s="15" t="inlineStr">
        <is>
          <t xml:space="preserve">Les messages automatiques sont dans l'onglet masqué TEXTES (clic droit sur un onglet › Afficher). Tu peux les réécrire ; garde « {X} », remplacé par la valeur personnelle du participant.</t>
        </is>
      </c>
    </row>
    <row r="64" ht="40.4" customHeight="1">
      <c r="B64" s="14" t="inlineStr">
        <is>
          <t xml:space="preserve">•</t>
        </is>
      </c>
      <c r="C64" s="15" t="inlineStr">
        <is>
          <t xml:space="preserve">Aucune macro : le fichier fonctionne sur Excel ordinateur, Mac, et en consultation/saisie sur Excel mobile.</t>
        </is>
      </c>
    </row>
    <row r="66" ht="18" customHeight="1">
      <c r="B66" s="17"/>
      <c r="C66" s="17" t="inlineStr">
        <is>
          <t xml:space="preserve">Commencer mon suivi ›</t>
        </is>
      </c>
    </row>
    <row r="67" ht="18" customHeight="1">
      <c r="C67" s="17" t="inlineStr">
        <is>
          <t xml:space="preserve">Voir mes missions ›</t>
        </is>
      </c>
    </row>
    <row r="68" ht="18" customHeight="1">
      <c r="C68" s="17" t="inlineStr">
        <is>
          <t xml:space="preserve">Lire les versets de la semaine ›</t>
        </is>
      </c>
    </row>
  </sheetData>
  <sheetProtection sheet="1" formatColumns="0" formatRows="0"/>
  <mergeCells count="13">
    <mergeCell ref="B1:C1"/>
    <mergeCell ref="B2:C2"/>
    <mergeCell ref="B5:C5"/>
    <mergeCell ref="B8:C8"/>
    <mergeCell ref="B16:C16"/>
    <mergeCell ref="B22:C22"/>
    <mergeCell ref="B27:C27"/>
    <mergeCell ref="B32:C32"/>
    <mergeCell ref="B37:C37"/>
    <mergeCell ref="B44:C44"/>
    <mergeCell ref="B52:C52"/>
    <mergeCell ref="B56:C56"/>
    <mergeCell ref="B60:C60"/>
  </mergeCells>
  <hyperlinks>
    <hyperlink ref="C66" location="'MON SUIVI QUOTIDIEN'!B1" display="Commencer mon suivi"/>
    <hyperlink ref="C67" location="'MES MISSIONS'!B1" display="Voir mes missions"/>
    <hyperlink ref="C68" location="VERSETS!B1" display="Lire les versets"/>
  </hyperlinks>
  <printOptions horizontalCentered="1"/>
  <pageMargins left="0.75" right="0.75" top="1" bottom="1" header="0.5" footer="0.5"/>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sheetPr>
    <pageSetUpPr fitToPage="1"/>
  </sheetPr>
  <dimension ref="B1:L97"/>
  <sheetViews>
    <sheetView showGridLines="0" topLeftCell="A4" zoomScaleNormal="100" workbookViewId="0">
      <selection activeCell="B1" sqref="B1:L1"/>
    </sheetView>
  </sheetViews>
  <sheetFormatPr baseColWidth="10" defaultColWidth="8.7109375" defaultRowHeight="15"/>
  <cols>
    <col min="1" max="1" width="2" customWidth="1"/>
    <col min="2" max="2" width="42" customWidth="1"/>
    <col min="3" max="3" width="7" customWidth="1"/>
    <col min="4" max="4" width="9" customWidth="1"/>
    <col min="5" max="11" width="10.5703125" customWidth="1"/>
    <col min="12" max="12" width="12" customWidth="1"/>
  </cols>
  <sheetData>
    <row r="1" spans="2:12" ht="39.75" customHeight="1">
      <c r="B1" s="13" t="s">
        <v>0</v>
      </c>
      <c r="C1" s="13"/>
      <c r="D1" s="13"/>
      <c r="E1" s="13"/>
      <c r="F1" s="13"/>
      <c r="G1" s="13"/>
      <c r="H1" s="13"/>
      <c r="I1" s="13"/>
      <c r="J1" s="13"/>
      <c r="K1" s="13"/>
      <c r="L1" s="13"/>
    </row>
    <row r="2" spans="2:12" ht="21.75" customHeight="1">
      <c r="B2" s="12" t="s">
        <v>1</v>
      </c>
      <c r="C2" s="12"/>
      <c r="D2" s="12"/>
      <c r="E2" s="12"/>
      <c r="F2" s="12"/>
      <c r="G2" s="12"/>
      <c r="H2" s="12"/>
      <c r="I2" s="12"/>
      <c r="J2" s="12"/>
      <c r="K2" s="12"/>
      <c r="L2" s="12"/>
    </row>
    <row r="3" spans="2:12" ht="19.5" customHeight="1">
      <c r="B3" s="18" t="s">
        <v>41</v>
      </c>
      <c r="E3" s="19" t="s">
        <v>42</v>
      </c>
      <c r="F3" s="19" t="s">
        <v>43</v>
      </c>
      <c r="G3" s="19" t="s">
        <v>44</v>
      </c>
      <c r="H3" s="19" t="s">
        <v>45</v>
      </c>
      <c r="I3" s="19" t="s">
        <v>46</v>
      </c>
      <c r="K3" s="10" t="s">
        <v>47</v>
      </c>
      <c r="L3" s="10"/>
    </row>
    <row r="4" spans="2:12" ht="27.75" customHeight="1">
      <c r="B4" s="9" t="s">
        <v>48</v>
      </c>
      <c r="C4" s="9"/>
      <c r="D4" s="9"/>
      <c r="E4" s="9"/>
      <c r="F4" s="9"/>
      <c r="G4" s="9"/>
      <c r="H4" s="9"/>
      <c r="I4" s="9"/>
      <c r="J4" s="9"/>
      <c r="K4" s="9"/>
      <c r="L4" s="9"/>
    </row>
    <row r="5" spans="2:12" ht="25.5" customHeight="1">
      <c r="B5" s="8" t="s">
        <v>49</v>
      </c>
      <c r="C5" s="8"/>
      <c r="D5" s="8"/>
      <c r="E5" s="8"/>
      <c r="F5" s="8"/>
      <c r="G5" s="8"/>
      <c r="H5" s="8"/>
      <c r="I5" s="8"/>
      <c r="J5" s="8"/>
      <c r="K5" s="8"/>
      <c r="L5" s="8"/>
    </row>
    <row r="6" spans="2:12" ht="21.75" customHeight="1">
      <c r="B6" s="20" t="s">
        <v>50</v>
      </c>
      <c r="C6" s="7"/>
      <c r="D6" s="7"/>
      <c r="E6" s="7"/>
      <c r="F6" s="7"/>
      <c r="H6" s="6" t="s">
        <v>51</v>
      </c>
      <c r="I6" s="6"/>
      <c r="J6" s="6"/>
      <c r="K6" s="5" t="str">
        <f>IF(OR(C7="",C8=""),"",INT((C8-C7)/7)+1)</f>
        <v/>
      </c>
      <c r="L6" s="5"/>
    </row>
    <row r="7" spans="2:12" ht="21.75" customHeight="1">
      <c r="B7" s="20" t="s">
        <v>52</v>
      </c>
      <c r="C7" s="4"/>
      <c r="D7" s="4"/>
      <c r="E7" s="4"/>
      <c r="F7" s="4"/>
      <c r="H7" s="6" t="s">
        <v>53</v>
      </c>
      <c r="I7" s="6"/>
      <c r="J7" s="6"/>
      <c r="K7" s="5" t="str">
        <f>IF(E22="","",IF(K22&lt;1,"avant le début",IF(E22&lt;1,"J1",CONCATENATE("J",E22)) &amp; " à J" &amp; K22))</f>
        <v/>
      </c>
      <c r="L7" s="5"/>
    </row>
    <row r="8" spans="2:12" ht="21.75" customHeight="1">
      <c r="B8" s="20" t="s">
        <v>54</v>
      </c>
      <c r="C8" s="4"/>
      <c r="D8" s="4"/>
      <c r="E8" s="4"/>
      <c r="F8" s="4"/>
      <c r="H8" s="6" t="s">
        <v>55</v>
      </c>
      <c r="I8" s="6"/>
      <c r="J8" s="6"/>
      <c r="K8" s="5">
        <f>COUNTIF(B28:B67,"?*")</f>
        <v>0</v>
      </c>
      <c r="L8" s="5"/>
    </row>
    <row r="9" spans="2:12" ht="43.5" customHeight="1">
      <c r="B9" s="20" t="s">
        <v>56</v>
      </c>
      <c r="C9" s="3"/>
      <c r="D9" s="3"/>
      <c r="E9" s="3"/>
      <c r="F9" s="3"/>
      <c r="G9" s="3"/>
      <c r="H9" s="3"/>
      <c r="I9" s="3"/>
      <c r="J9" s="3"/>
      <c r="K9" s="3"/>
      <c r="L9" s="3"/>
    </row>
    <row r="11" spans="2:12" ht="25.5" customHeight="1">
      <c r="B11" s="8" t="s">
        <v>57</v>
      </c>
      <c r="C11" s="8"/>
      <c r="D11" s="8"/>
      <c r="E11" s="8"/>
      <c r="F11" s="8"/>
      <c r="G11" s="8"/>
      <c r="H11" s="8"/>
      <c r="I11" s="8"/>
      <c r="J11" s="8"/>
      <c r="K11" s="8"/>
      <c r="L11" s="8"/>
    </row>
    <row r="12" spans="2:12" ht="21.75" customHeight="1">
      <c r="B12" s="20" t="s">
        <v>58</v>
      </c>
      <c r="C12" s="2">
        <v>2</v>
      </c>
      <c r="D12" s="2"/>
      <c r="E12" s="9" t="s">
        <v>59</v>
      </c>
      <c r="F12" s="9"/>
      <c r="G12" s="9"/>
      <c r="H12" s="9"/>
      <c r="I12" s="9"/>
      <c r="J12" s="9"/>
      <c r="K12" s="9"/>
      <c r="L12" s="9"/>
    </row>
    <row r="13" spans="2:12" ht="21.75" customHeight="1">
      <c r="B13" s="20" t="s">
        <v>60</v>
      </c>
      <c r="C13" s="1">
        <v>2</v>
      </c>
      <c r="D13" s="1"/>
      <c r="E13" s="9" t="s">
        <v>61</v>
      </c>
      <c r="F13" s="9"/>
      <c r="G13" s="9"/>
      <c r="H13" s="9"/>
      <c r="I13" s="9"/>
      <c r="J13" s="9"/>
      <c r="K13" s="9"/>
      <c r="L13" s="9"/>
    </row>
    <row r="14" spans="2:12" ht="21.75" customHeight="1">
      <c r="B14" s="20" t="s">
        <v>62</v>
      </c>
      <c r="C14" s="54">
        <v>7.5</v>
      </c>
      <c r="D14" s="54"/>
      <c r="E14" s="9" t="s">
        <v>63</v>
      </c>
      <c r="F14" s="9"/>
      <c r="G14" s="9"/>
      <c r="H14" s="9"/>
      <c r="I14" s="9"/>
      <c r="J14" s="9"/>
      <c r="K14" s="9"/>
      <c r="L14" s="9"/>
    </row>
    <row r="15" spans="2:12" ht="21.75" customHeight="1">
      <c r="B15" s="20" t="s">
        <v>64</v>
      </c>
      <c r="C15" s="55">
        <v>0.95833333333333304</v>
      </c>
      <c r="D15" s="55"/>
      <c r="E15" s="9" t="s">
        <v>65</v>
      </c>
      <c r="F15" s="9"/>
      <c r="G15" s="9"/>
      <c r="H15" s="9"/>
      <c r="I15" s="9"/>
      <c r="J15" s="9"/>
      <c r="K15" s="9"/>
      <c r="L15" s="9"/>
    </row>
    <row r="16" spans="2:12" ht="21.75" customHeight="1">
      <c r="B16" s="20" t="s">
        <v>66</v>
      </c>
      <c r="C16" s="56">
        <v>30</v>
      </c>
      <c r="D16" s="56"/>
      <c r="E16" s="9" t="s">
        <v>67</v>
      </c>
      <c r="F16" s="9"/>
      <c r="G16" s="9"/>
      <c r="H16" s="9"/>
      <c r="I16" s="9"/>
      <c r="J16" s="9"/>
      <c r="K16" s="9"/>
      <c r="L16" s="9"/>
    </row>
    <row r="17" spans="2:12" ht="21.75" customHeight="1">
      <c r="B17" s="20" t="s">
        <v>68</v>
      </c>
      <c r="C17" s="56">
        <v>20</v>
      </c>
      <c r="D17" s="56"/>
      <c r="E17" s="9" t="s">
        <v>69</v>
      </c>
      <c r="F17" s="9"/>
      <c r="G17" s="9"/>
      <c r="H17" s="9"/>
      <c r="I17" s="9"/>
      <c r="J17" s="9"/>
      <c r="K17" s="9"/>
      <c r="L17" s="9"/>
    </row>
    <row r="18" spans="2:12" ht="21.75" customHeight="1">
      <c r="B18" s="20" t="s">
        <v>70</v>
      </c>
      <c r="C18" s="57">
        <v>3</v>
      </c>
      <c r="D18" s="57"/>
      <c r="E18" s="9" t="s">
        <v>71</v>
      </c>
      <c r="F18" s="9"/>
      <c r="G18" s="9"/>
      <c r="H18" s="9"/>
      <c r="I18" s="9"/>
      <c r="J18" s="9"/>
      <c r="K18" s="9"/>
      <c r="L18" s="9"/>
    </row>
    <row r="20" spans="2:12" ht="25.5" customHeight="1">
      <c r="B20" s="8" t="s">
        <v>72</v>
      </c>
      <c r="C20" s="8"/>
      <c r="D20" s="8"/>
      <c r="E20" s="8"/>
      <c r="F20" s="8"/>
      <c r="G20" s="8"/>
      <c r="H20" s="8"/>
      <c r="I20" s="8"/>
      <c r="J20" s="8"/>
      <c r="K20" s="8"/>
      <c r="L20" s="8"/>
    </row>
    <row r="21" spans="2:12">
      <c r="B21" s="25" t="s">
        <v>73</v>
      </c>
      <c r="C21" s="26"/>
      <c r="D21" s="26"/>
      <c r="E21" s="27" t="str">
        <f>IF($C$8="","",$C$8+0)</f>
        <v/>
      </c>
      <c r="F21" s="27" t="str">
        <f>IF($C$8="","",$C$8+1)</f>
        <v/>
      </c>
      <c r="G21" s="27" t="str">
        <f>IF($C$8="","",$C$8+2)</f>
        <v/>
      </c>
      <c r="H21" s="27" t="str">
        <f>IF($C$8="","",$C$8+3)</f>
        <v/>
      </c>
      <c r="I21" s="27" t="str">
        <f>IF($C$8="","",$C$8+4)</f>
        <v/>
      </c>
      <c r="J21" s="27" t="str">
        <f>IF($C$8="","",$C$8+5)</f>
        <v/>
      </c>
      <c r="K21" s="27" t="str">
        <f>IF($C$8="","",$C$8+6)</f>
        <v/>
      </c>
    </row>
    <row r="22" spans="2:12">
      <c r="B22" s="25" t="s">
        <v>74</v>
      </c>
      <c r="C22" s="26"/>
      <c r="D22" s="26"/>
      <c r="E22" s="28" t="str">
        <f t="shared" ref="E22:K22" si="0">IF(OR($C$7="",$C$8=""),"",E21-$C$7+1)</f>
        <v/>
      </c>
      <c r="F22" s="28" t="str">
        <f t="shared" si="0"/>
        <v/>
      </c>
      <c r="G22" s="28" t="str">
        <f t="shared" si="0"/>
        <v/>
      </c>
      <c r="H22" s="28" t="str">
        <f t="shared" si="0"/>
        <v/>
      </c>
      <c r="I22" s="28" t="str">
        <f t="shared" si="0"/>
        <v/>
      </c>
      <c r="J22" s="28" t="str">
        <f t="shared" si="0"/>
        <v/>
      </c>
      <c r="K22" s="28" t="str">
        <f t="shared" si="0"/>
        <v/>
      </c>
    </row>
    <row r="24" spans="2:12" ht="25.5" customHeight="1">
      <c r="B24" s="8" t="s">
        <v>75</v>
      </c>
      <c r="C24" s="8"/>
      <c r="D24" s="8"/>
      <c r="E24" s="8"/>
      <c r="F24" s="8"/>
      <c r="G24" s="8"/>
      <c r="H24" s="8"/>
      <c r="I24" s="8"/>
      <c r="J24" s="8"/>
      <c r="K24" s="8"/>
      <c r="L24" s="8"/>
    </row>
    <row r="25" spans="2:12" ht="21.75" customHeight="1">
      <c r="B25" s="29" t="s">
        <v>76</v>
      </c>
      <c r="C25" s="30" t="s">
        <v>77</v>
      </c>
      <c r="D25" s="30" t="s">
        <v>78</v>
      </c>
      <c r="E25" s="31" t="str">
        <f>IF(E$21="","Lun",CHOOSE(WEEKDAY(E$21,2),"Lun","Mar","Mer","Jeu","Ven","Sam","Dim")&amp;" "&amp;RIGHT("0"&amp;DAY(E$21),2)&amp;"/"&amp;RIGHT("0"&amp;MONTH(E$21),2))</f>
        <v>Lun</v>
      </c>
      <c r="F25" s="31" t="str">
        <f>IF(F$21="","Mar",CHOOSE(WEEKDAY(F$21,2),"Lun","Mar","Mer","Jeu","Ven","Sam","Dim")&amp;" "&amp;RIGHT("0"&amp;DAY(F$21),2)&amp;"/"&amp;RIGHT("0"&amp;MONTH(F$21),2))</f>
        <v>Mar</v>
      </c>
      <c r="G25" s="31" t="str">
        <f>IF(G$21="","Mer",CHOOSE(WEEKDAY(G$21,2),"Lun","Mar","Mer","Jeu","Ven","Sam","Dim")&amp;" "&amp;RIGHT("0"&amp;DAY(G$21),2)&amp;"/"&amp;RIGHT("0"&amp;MONTH(G$21),2))</f>
        <v>Mer</v>
      </c>
      <c r="H25" s="31" t="str">
        <f>IF(H$21="","Jeu",CHOOSE(WEEKDAY(H$21,2),"Lun","Mar","Mer","Jeu","Ven","Sam","Dim")&amp;" "&amp;RIGHT("0"&amp;DAY(H$21),2)&amp;"/"&amp;RIGHT("0"&amp;MONTH(H$21),2))</f>
        <v>Jeu</v>
      </c>
      <c r="I25" s="31" t="str">
        <f>IF(I$21="","Ven",CHOOSE(WEEKDAY(I$21,2),"Lun","Mar","Mer","Jeu","Ven","Sam","Dim")&amp;" "&amp;RIGHT("0"&amp;DAY(I$21),2)&amp;"/"&amp;RIGHT("0"&amp;MONTH(I$21),2))</f>
        <v>Ven</v>
      </c>
      <c r="J25" s="31" t="str">
        <f>IF(J$21="","Sam",CHOOSE(WEEKDAY(J$21,2),"Lun","Mar","Mer","Jeu","Ven","Sam","Dim")&amp;" "&amp;RIGHT("0"&amp;DAY(J$21),2)&amp;"/"&amp;RIGHT("0"&amp;MONTH(J$21),2))</f>
        <v>Sam</v>
      </c>
      <c r="K25" s="31" t="str">
        <f>IF(K$21="","Dim",CHOOSE(WEEKDAY(K$21,2),"Lun","Mar","Mer","Jeu","Ven","Sam","Dim")&amp;" "&amp;RIGHT("0"&amp;DAY(K$21),2)&amp;"/"&amp;RIGHT("0"&amp;MONTH(K$21),2))</f>
        <v>Dim</v>
      </c>
      <c r="L25" s="30" t="s">
        <v>79</v>
      </c>
    </row>
    <row r="26" spans="2:12" ht="30" customHeight="1">
      <c r="B26" s="9" t="s">
        <v>80</v>
      </c>
      <c r="C26" s="9"/>
      <c r="D26" s="9"/>
      <c r="E26" s="9"/>
      <c r="F26" s="9"/>
      <c r="G26" s="9"/>
      <c r="H26" s="9"/>
      <c r="I26" s="9"/>
      <c r="J26" s="9"/>
      <c r="K26" s="9"/>
      <c r="L26" s="9"/>
    </row>
    <row r="27" spans="2:12" ht="15" customHeight="1">
      <c r="B27" s="9" t="s">
        <v>81</v>
      </c>
      <c r="C27" s="9"/>
      <c r="D27" s="9"/>
      <c r="E27" s="9"/>
      <c r="F27" s="9"/>
      <c r="G27" s="9"/>
      <c r="H27" s="9"/>
      <c r="I27" s="9"/>
      <c r="J27" s="9"/>
      <c r="K27" s="9"/>
      <c r="L27" s="9"/>
    </row>
    <row r="28" spans="2:12" ht="30" customHeight="1">
      <c r="B28" s="32" t="str">
        <f>IF(OR(MISSIONS!$D8="",MISSIONS!$C8="",$K$22=""),"",IF(MISSIONS!$C8&lt;=$K$22,MISSIONS!$D8,""))</f>
        <v/>
      </c>
      <c r="C28" s="33" t="str">
        <f>IF(B28="","",MISSIONS!$C8)</f>
        <v/>
      </c>
      <c r="D28" s="34" t="str">
        <f>IF(B28="","",IF(MISSIONS!$E8="Obligation","Oblig.","Recom."))</f>
        <v/>
      </c>
      <c r="E28" s="35"/>
      <c r="F28" s="35"/>
      <c r="G28" s="35"/>
      <c r="H28" s="35"/>
      <c r="I28" s="35"/>
      <c r="J28" s="35"/>
      <c r="K28" s="35"/>
      <c r="L28" s="36" t="str">
        <f t="shared" ref="L28:L67" si="1">IF(B28="","",IF(SUMPRODUCT((E28:K28="Fait")*($E$22:$K$22&gt;=$C28))+SUMPRODUCT((E28:K28="Pas fait")*($E$22:$K$22&gt;=$C28))=0,"",SUMPRODUCT((E28:K28="Fait")*($E$22:$K$22&gt;=$C28))/(SUMPRODUCT((E28:K28="Fait")*($E$22:$K$22&gt;=$C28))+SUMPRODUCT((E28:K28="Pas fait")*($E$22:$K$22&gt;=$C28)))))</f>
        <v/>
      </c>
    </row>
    <row r="29" spans="2:12" ht="30" customHeight="1">
      <c r="B29" s="32" t="str">
        <f>IF(OR(MISSIONS!$D9="",MISSIONS!$C9="",$K$22=""),"",IF(MISSIONS!$C9&lt;=$K$22,MISSIONS!$D9,""))</f>
        <v/>
      </c>
      <c r="C29" s="33" t="str">
        <f>IF(B29="","",MISSIONS!$C9)</f>
        <v/>
      </c>
      <c r="D29" s="34" t="str">
        <f>IF(B29="","",IF(MISSIONS!$E9="Obligation","Oblig.","Recom."))</f>
        <v/>
      </c>
      <c r="E29" s="35"/>
      <c r="F29" s="35"/>
      <c r="G29" s="35"/>
      <c r="H29" s="35"/>
      <c r="I29" s="35"/>
      <c r="J29" s="35"/>
      <c r="K29" s="35"/>
      <c r="L29" s="36" t="str">
        <f t="shared" si="1"/>
        <v/>
      </c>
    </row>
    <row r="30" spans="2:12" ht="30" customHeight="1">
      <c r="B30" s="32" t="str">
        <f>IF(OR(MISSIONS!$D10="",MISSIONS!$C10="",$K$22=""),"",IF(MISSIONS!$C10&lt;=$K$22,MISSIONS!$D10,""))</f>
        <v/>
      </c>
      <c r="C30" s="33" t="str">
        <f>IF(B30="","",MISSIONS!$C10)</f>
        <v/>
      </c>
      <c r="D30" s="34" t="str">
        <f>IF(B30="","",IF(MISSIONS!$E10="Obligation","Oblig.","Recom."))</f>
        <v/>
      </c>
      <c r="E30" s="35"/>
      <c r="F30" s="35"/>
      <c r="G30" s="35"/>
      <c r="H30" s="35"/>
      <c r="I30" s="35"/>
      <c r="J30" s="35"/>
      <c r="K30" s="35"/>
      <c r="L30" s="36" t="str">
        <f t="shared" si="1"/>
        <v/>
      </c>
    </row>
    <row r="31" spans="2:12" ht="30" customHeight="1">
      <c r="B31" s="32" t="str">
        <f>IF(OR(MISSIONS!$D11="",MISSIONS!$C11="",$K$22=""),"",IF(MISSIONS!$C11&lt;=$K$22,MISSIONS!$D11,""))</f>
        <v/>
      </c>
      <c r="C31" s="33" t="str">
        <f>IF(B31="","",MISSIONS!$C11)</f>
        <v/>
      </c>
      <c r="D31" s="34" t="str">
        <f>IF(B31="","",IF(MISSIONS!$E11="Obligation","Oblig.","Recom."))</f>
        <v/>
      </c>
      <c r="E31" s="35"/>
      <c r="F31" s="35"/>
      <c r="G31" s="35"/>
      <c r="H31" s="35"/>
      <c r="I31" s="35"/>
      <c r="J31" s="35"/>
      <c r="K31" s="35"/>
      <c r="L31" s="36" t="str">
        <f t="shared" si="1"/>
        <v/>
      </c>
    </row>
    <row r="32" spans="2:12" ht="30" customHeight="1">
      <c r="B32" s="32" t="str">
        <f>IF(OR(MISSIONS!$D12="",MISSIONS!$C12="",$K$22=""),"",IF(MISSIONS!$C12&lt;=$K$22,MISSIONS!$D12,""))</f>
        <v/>
      </c>
      <c r="C32" s="33" t="str">
        <f>IF(B32="","",MISSIONS!$C12)</f>
        <v/>
      </c>
      <c r="D32" s="34" t="str">
        <f>IF(B32="","",IF(MISSIONS!$E12="Obligation","Oblig.","Recom."))</f>
        <v/>
      </c>
      <c r="E32" s="35"/>
      <c r="F32" s="35"/>
      <c r="G32" s="35"/>
      <c r="H32" s="35"/>
      <c r="I32" s="35"/>
      <c r="J32" s="35"/>
      <c r="K32" s="35"/>
      <c r="L32" s="36" t="str">
        <f t="shared" si="1"/>
        <v/>
      </c>
    </row>
    <row r="33" spans="2:12" ht="30" customHeight="1">
      <c r="B33" s="32" t="str">
        <f>IF(OR(MISSIONS!$D13="",MISSIONS!$C13="",$K$22=""),"",IF(MISSIONS!$C13&lt;=$K$22,MISSIONS!$D13,""))</f>
        <v/>
      </c>
      <c r="C33" s="33" t="str">
        <f>IF(B33="","",MISSIONS!$C13)</f>
        <v/>
      </c>
      <c r="D33" s="34" t="str">
        <f>IF(B33="","",IF(MISSIONS!$E13="Obligation","Oblig.","Recom."))</f>
        <v/>
      </c>
      <c r="E33" s="35"/>
      <c r="F33" s="35"/>
      <c r="G33" s="35"/>
      <c r="H33" s="35"/>
      <c r="I33" s="35"/>
      <c r="J33" s="35"/>
      <c r="K33" s="35"/>
      <c r="L33" s="36" t="str">
        <f t="shared" si="1"/>
        <v/>
      </c>
    </row>
    <row r="34" spans="2:12" ht="30" customHeight="1">
      <c r="B34" s="32" t="str">
        <f>IF(OR(MISSIONS!$D14="",MISSIONS!$C14="",$K$22=""),"",IF(MISSIONS!$C14&lt;=$K$22,MISSIONS!$D14,""))</f>
        <v/>
      </c>
      <c r="C34" s="33" t="str">
        <f>IF(B34="","",MISSIONS!$C14)</f>
        <v/>
      </c>
      <c r="D34" s="34" t="str">
        <f>IF(B34="","",IF(MISSIONS!$E14="Obligation","Oblig.","Recom."))</f>
        <v/>
      </c>
      <c r="E34" s="35"/>
      <c r="F34" s="35"/>
      <c r="G34" s="35"/>
      <c r="H34" s="35"/>
      <c r="I34" s="35"/>
      <c r="J34" s="35"/>
      <c r="K34" s="35"/>
      <c r="L34" s="36" t="str">
        <f t="shared" si="1"/>
        <v/>
      </c>
    </row>
    <row r="35" spans="2:12" ht="30" customHeight="1">
      <c r="B35" s="32" t="str">
        <f>IF(OR(MISSIONS!$D15="",MISSIONS!$C15="",$K$22=""),"",IF(MISSIONS!$C15&lt;=$K$22,MISSIONS!$D15,""))</f>
        <v/>
      </c>
      <c r="C35" s="33" t="str">
        <f>IF(B35="","",MISSIONS!$C15)</f>
        <v/>
      </c>
      <c r="D35" s="34" t="str">
        <f>IF(B35="","",IF(MISSIONS!$E15="Obligation","Oblig.","Recom."))</f>
        <v/>
      </c>
      <c r="E35" s="35"/>
      <c r="F35" s="35"/>
      <c r="G35" s="35"/>
      <c r="H35" s="35"/>
      <c r="I35" s="35"/>
      <c r="J35" s="35"/>
      <c r="K35" s="35"/>
      <c r="L35" s="36" t="str">
        <f t="shared" si="1"/>
        <v/>
      </c>
    </row>
    <row r="36" spans="2:12" ht="30" customHeight="1">
      <c r="B36" s="32" t="str">
        <f>IF(OR(MISSIONS!$D16="",MISSIONS!$C16="",$K$22=""),"",IF(MISSIONS!$C16&lt;=$K$22,MISSIONS!$D16,""))</f>
        <v/>
      </c>
      <c r="C36" s="33" t="str">
        <f>IF(B36="","",MISSIONS!$C16)</f>
        <v/>
      </c>
      <c r="D36" s="34" t="str">
        <f>IF(B36="","",IF(MISSIONS!$E16="Obligation","Oblig.","Recom."))</f>
        <v/>
      </c>
      <c r="E36" s="35"/>
      <c r="F36" s="35"/>
      <c r="G36" s="35"/>
      <c r="H36" s="35"/>
      <c r="I36" s="35"/>
      <c r="J36" s="35"/>
      <c r="K36" s="35"/>
      <c r="L36" s="36" t="str">
        <f t="shared" si="1"/>
        <v/>
      </c>
    </row>
    <row r="37" spans="2:12" ht="30" customHeight="1">
      <c r="B37" s="32" t="str">
        <f>IF(OR(MISSIONS!$D17="",MISSIONS!$C17="",$K$22=""),"",IF(MISSIONS!$C17&lt;=$K$22,MISSIONS!$D17,""))</f>
        <v/>
      </c>
      <c r="C37" s="33" t="str">
        <f>IF(B37="","",MISSIONS!$C17)</f>
        <v/>
      </c>
      <c r="D37" s="34" t="str">
        <f>IF(B37="","",IF(MISSIONS!$E17="Obligation","Oblig.","Recom."))</f>
        <v/>
      </c>
      <c r="E37" s="35"/>
      <c r="F37" s="35"/>
      <c r="G37" s="35"/>
      <c r="H37" s="35"/>
      <c r="I37" s="35"/>
      <c r="J37" s="35"/>
      <c r="K37" s="35"/>
      <c r="L37" s="36" t="str">
        <f t="shared" si="1"/>
        <v/>
      </c>
    </row>
    <row r="38" spans="2:12" ht="30" customHeight="1">
      <c r="B38" s="32" t="str">
        <f>IF(OR(MISSIONS!$D18="",MISSIONS!$C18="",$K$22=""),"",IF(MISSIONS!$C18&lt;=$K$22,MISSIONS!$D18,""))</f>
        <v/>
      </c>
      <c r="C38" s="33" t="str">
        <f>IF(B38="","",MISSIONS!$C18)</f>
        <v/>
      </c>
      <c r="D38" s="34" t="str">
        <f>IF(B38="","",IF(MISSIONS!$E18="Obligation","Oblig.","Recom."))</f>
        <v/>
      </c>
      <c r="E38" s="35"/>
      <c r="F38" s="35"/>
      <c r="G38" s="35"/>
      <c r="H38" s="35"/>
      <c r="I38" s="35"/>
      <c r="J38" s="35"/>
      <c r="K38" s="35"/>
      <c r="L38" s="36" t="str">
        <f t="shared" si="1"/>
        <v/>
      </c>
    </row>
    <row r="39" spans="2:12" ht="30" customHeight="1">
      <c r="B39" s="32" t="str">
        <f>IF(OR(MISSIONS!$D19="",MISSIONS!$C19="",$K$22=""),"",IF(MISSIONS!$C19&lt;=$K$22,MISSIONS!$D19,""))</f>
        <v/>
      </c>
      <c r="C39" s="33" t="str">
        <f>IF(B39="","",MISSIONS!$C19)</f>
        <v/>
      </c>
      <c r="D39" s="34" t="str">
        <f>IF(B39="","",IF(MISSIONS!$E19="Obligation","Oblig.","Recom."))</f>
        <v/>
      </c>
      <c r="E39" s="35"/>
      <c r="F39" s="35"/>
      <c r="G39" s="35"/>
      <c r="H39" s="35"/>
      <c r="I39" s="35"/>
      <c r="J39" s="35"/>
      <c r="K39" s="35"/>
      <c r="L39" s="36" t="str">
        <f t="shared" si="1"/>
        <v/>
      </c>
    </row>
    <row r="40" spans="2:12" ht="30" customHeight="1">
      <c r="B40" s="32" t="str">
        <f>IF(OR(MISSIONS!$D20="",MISSIONS!$C20="",$K$22=""),"",IF(MISSIONS!$C20&lt;=$K$22,MISSIONS!$D20,""))</f>
        <v/>
      </c>
      <c r="C40" s="33" t="str">
        <f>IF(B40="","",MISSIONS!$C20)</f>
        <v/>
      </c>
      <c r="D40" s="34" t="str">
        <f>IF(B40="","",IF(MISSIONS!$E20="Obligation","Oblig.","Recom."))</f>
        <v/>
      </c>
      <c r="E40" s="35"/>
      <c r="F40" s="35"/>
      <c r="G40" s="35"/>
      <c r="H40" s="35"/>
      <c r="I40" s="35"/>
      <c r="J40" s="35"/>
      <c r="K40" s="35"/>
      <c r="L40" s="36" t="str">
        <f t="shared" si="1"/>
        <v/>
      </c>
    </row>
    <row r="41" spans="2:12" ht="30" customHeight="1">
      <c r="B41" s="32" t="str">
        <f>IF(OR(MISSIONS!$D21="",MISSIONS!$C21="",$K$22=""),"",IF(MISSIONS!$C21&lt;=$K$22,MISSIONS!$D21,""))</f>
        <v/>
      </c>
      <c r="C41" s="33" t="str">
        <f>IF(B41="","",MISSIONS!$C21)</f>
        <v/>
      </c>
      <c r="D41" s="34" t="str">
        <f>IF(B41="","",IF(MISSIONS!$E21="Obligation","Oblig.","Recom."))</f>
        <v/>
      </c>
      <c r="E41" s="35"/>
      <c r="F41" s="35"/>
      <c r="G41" s="35"/>
      <c r="H41" s="35"/>
      <c r="I41" s="35"/>
      <c r="J41" s="35"/>
      <c r="K41" s="35"/>
      <c r="L41" s="36" t="str">
        <f t="shared" si="1"/>
        <v/>
      </c>
    </row>
    <row r="42" spans="2:12" ht="30" customHeight="1">
      <c r="B42" s="32" t="str">
        <f>IF(OR(MISSIONS!$D22="",MISSIONS!$C22="",$K$22=""),"",IF(MISSIONS!$C22&lt;=$K$22,MISSIONS!$D22,""))</f>
        <v/>
      </c>
      <c r="C42" s="33" t="str">
        <f>IF(B42="","",MISSIONS!$C22)</f>
        <v/>
      </c>
      <c r="D42" s="34" t="str">
        <f>IF(B42="","",IF(MISSIONS!$E22="Obligation","Oblig.","Recom."))</f>
        <v/>
      </c>
      <c r="E42" s="35"/>
      <c r="F42" s="35"/>
      <c r="G42" s="35"/>
      <c r="H42" s="35"/>
      <c r="I42" s="35"/>
      <c r="J42" s="35"/>
      <c r="K42" s="35"/>
      <c r="L42" s="36" t="str">
        <f t="shared" si="1"/>
        <v/>
      </c>
    </row>
    <row r="43" spans="2:12" ht="30" customHeight="1">
      <c r="B43" s="32" t="str">
        <f>IF(OR(MISSIONS!$D23="",MISSIONS!$C23="",$K$22=""),"",IF(MISSIONS!$C23&lt;=$K$22,MISSIONS!$D23,""))</f>
        <v/>
      </c>
      <c r="C43" s="33" t="str">
        <f>IF(B43="","",MISSIONS!$C23)</f>
        <v/>
      </c>
      <c r="D43" s="34" t="str">
        <f>IF(B43="","",IF(MISSIONS!$E23="Obligation","Oblig.","Recom."))</f>
        <v/>
      </c>
      <c r="E43" s="35"/>
      <c r="F43" s="35"/>
      <c r="G43" s="35"/>
      <c r="H43" s="35"/>
      <c r="I43" s="35"/>
      <c r="J43" s="35"/>
      <c r="K43" s="35"/>
      <c r="L43" s="36" t="str">
        <f t="shared" si="1"/>
        <v/>
      </c>
    </row>
    <row r="44" spans="2:12" ht="30" customHeight="1">
      <c r="B44" s="32" t="str">
        <f>IF(OR(MISSIONS!$D24="",MISSIONS!$C24="",$K$22=""),"",IF(MISSIONS!$C24&lt;=$K$22,MISSIONS!$D24,""))</f>
        <v/>
      </c>
      <c r="C44" s="33" t="str">
        <f>IF(B44="","",MISSIONS!$C24)</f>
        <v/>
      </c>
      <c r="D44" s="34" t="str">
        <f>IF(B44="","",IF(MISSIONS!$E24="Obligation","Oblig.","Recom."))</f>
        <v/>
      </c>
      <c r="E44" s="35"/>
      <c r="F44" s="35"/>
      <c r="G44" s="35"/>
      <c r="H44" s="35"/>
      <c r="I44" s="35"/>
      <c r="J44" s="35"/>
      <c r="K44" s="35"/>
      <c r="L44" s="36" t="str">
        <f t="shared" si="1"/>
        <v/>
      </c>
    </row>
    <row r="45" spans="2:12" ht="30" customHeight="1">
      <c r="B45" s="32" t="str">
        <f>IF(OR(MISSIONS!$D25="",MISSIONS!$C25="",$K$22=""),"",IF(MISSIONS!$C25&lt;=$K$22,MISSIONS!$D25,""))</f>
        <v/>
      </c>
      <c r="C45" s="33" t="str">
        <f>IF(B45="","",MISSIONS!$C25)</f>
        <v/>
      </c>
      <c r="D45" s="34" t="str">
        <f>IF(B45="","",IF(MISSIONS!$E25="Obligation","Oblig.","Recom."))</f>
        <v/>
      </c>
      <c r="E45" s="35"/>
      <c r="F45" s="35"/>
      <c r="G45" s="35"/>
      <c r="H45" s="35"/>
      <c r="I45" s="35"/>
      <c r="J45" s="35"/>
      <c r="K45" s="35"/>
      <c r="L45" s="36" t="str">
        <f t="shared" si="1"/>
        <v/>
      </c>
    </row>
    <row r="46" spans="2:12" ht="30" customHeight="1">
      <c r="B46" s="32" t="str">
        <f>IF(OR(MISSIONS!$D26="",MISSIONS!$C26="",$K$22=""),"",IF(MISSIONS!$C26&lt;=$K$22,MISSIONS!$D26,""))</f>
        <v/>
      </c>
      <c r="C46" s="33" t="str">
        <f>IF(B46="","",MISSIONS!$C26)</f>
        <v/>
      </c>
      <c r="D46" s="34" t="str">
        <f>IF(B46="","",IF(MISSIONS!$E26="Obligation","Oblig.","Recom."))</f>
        <v/>
      </c>
      <c r="E46" s="35"/>
      <c r="F46" s="35"/>
      <c r="G46" s="35"/>
      <c r="H46" s="35"/>
      <c r="I46" s="35"/>
      <c r="J46" s="35"/>
      <c r="K46" s="35"/>
      <c r="L46" s="36" t="str">
        <f t="shared" si="1"/>
        <v/>
      </c>
    </row>
    <row r="47" spans="2:12" ht="30" customHeight="1">
      <c r="B47" s="32" t="str">
        <f>IF(OR(MISSIONS!$D27="",MISSIONS!$C27="",$K$22=""),"",IF(MISSIONS!$C27&lt;=$K$22,MISSIONS!$D27,""))</f>
        <v/>
      </c>
      <c r="C47" s="33" t="str">
        <f>IF(B47="","",MISSIONS!$C27)</f>
        <v/>
      </c>
      <c r="D47" s="34" t="str">
        <f>IF(B47="","",IF(MISSIONS!$E27="Obligation","Oblig.","Recom."))</f>
        <v/>
      </c>
      <c r="E47" s="35"/>
      <c r="F47" s="35"/>
      <c r="G47" s="35"/>
      <c r="H47" s="35"/>
      <c r="I47" s="35"/>
      <c r="J47" s="35"/>
      <c r="K47" s="35"/>
      <c r="L47" s="36" t="str">
        <f t="shared" si="1"/>
        <v/>
      </c>
    </row>
    <row r="48" spans="2:12" ht="30" customHeight="1">
      <c r="B48" s="32" t="str">
        <f>IF(OR(MISSIONS!$D28="",MISSIONS!$C28="",$K$22=""),"",IF(MISSIONS!$C28&lt;=$K$22,MISSIONS!$D28,""))</f>
        <v/>
      </c>
      <c r="C48" s="33" t="str">
        <f>IF(B48="","",MISSIONS!$C28)</f>
        <v/>
      </c>
      <c r="D48" s="34" t="str">
        <f>IF(B48="","",IF(MISSIONS!$E28="Obligation","Oblig.","Recom."))</f>
        <v/>
      </c>
      <c r="E48" s="35"/>
      <c r="F48" s="35"/>
      <c r="G48" s="35"/>
      <c r="H48" s="35"/>
      <c r="I48" s="35"/>
      <c r="J48" s="35"/>
      <c r="K48" s="35"/>
      <c r="L48" s="36" t="str">
        <f t="shared" si="1"/>
        <v/>
      </c>
    </row>
    <row r="49" spans="2:12" ht="30" customHeight="1">
      <c r="B49" s="32" t="str">
        <f>IF(OR(MISSIONS!$D29="",MISSIONS!$C29="",$K$22=""),"",IF(MISSIONS!$C29&lt;=$K$22,MISSIONS!$D29,""))</f>
        <v/>
      </c>
      <c r="C49" s="33" t="str">
        <f>IF(B49="","",MISSIONS!$C29)</f>
        <v/>
      </c>
      <c r="D49" s="34" t="str">
        <f>IF(B49="","",IF(MISSIONS!$E29="Obligation","Oblig.","Recom."))</f>
        <v/>
      </c>
      <c r="E49" s="35"/>
      <c r="F49" s="35"/>
      <c r="G49" s="35"/>
      <c r="H49" s="35"/>
      <c r="I49" s="35"/>
      <c r="J49" s="35"/>
      <c r="K49" s="35"/>
      <c r="L49" s="36" t="str">
        <f t="shared" si="1"/>
        <v/>
      </c>
    </row>
    <row r="50" spans="2:12" ht="30" customHeight="1">
      <c r="B50" s="32" t="str">
        <f>IF(OR(MISSIONS!$D30="",MISSIONS!$C30="",$K$22=""),"",IF(MISSIONS!$C30&lt;=$K$22,MISSIONS!$D30,""))</f>
        <v/>
      </c>
      <c r="C50" s="33" t="str">
        <f>IF(B50="","",MISSIONS!$C30)</f>
        <v/>
      </c>
      <c r="D50" s="34" t="str">
        <f>IF(B50="","",IF(MISSIONS!$E30="Obligation","Oblig.","Recom."))</f>
        <v/>
      </c>
      <c r="E50" s="35"/>
      <c r="F50" s="35"/>
      <c r="G50" s="35"/>
      <c r="H50" s="35"/>
      <c r="I50" s="35"/>
      <c r="J50" s="35"/>
      <c r="K50" s="35"/>
      <c r="L50" s="36" t="str">
        <f t="shared" si="1"/>
        <v/>
      </c>
    </row>
    <row r="51" spans="2:12" ht="30" customHeight="1">
      <c r="B51" s="32" t="str">
        <f>IF(OR(MISSIONS!$D31="",MISSIONS!$C31="",$K$22=""),"",IF(MISSIONS!$C31&lt;=$K$22,MISSIONS!$D31,""))</f>
        <v/>
      </c>
      <c r="C51" s="33" t="str">
        <f>IF(B51="","",MISSIONS!$C31)</f>
        <v/>
      </c>
      <c r="D51" s="34" t="str">
        <f>IF(B51="","",IF(MISSIONS!$E31="Obligation","Oblig.","Recom."))</f>
        <v/>
      </c>
      <c r="E51" s="35"/>
      <c r="F51" s="35"/>
      <c r="G51" s="35"/>
      <c r="H51" s="35"/>
      <c r="I51" s="35"/>
      <c r="J51" s="35"/>
      <c r="K51" s="35"/>
      <c r="L51" s="36" t="str">
        <f t="shared" si="1"/>
        <v/>
      </c>
    </row>
    <row r="52" spans="2:12" ht="30" customHeight="1">
      <c r="B52" s="32" t="str">
        <f>IF(OR(MISSIONS!$D32="",MISSIONS!$C32="",$K$22=""),"",IF(MISSIONS!$C32&lt;=$K$22,MISSIONS!$D32,""))</f>
        <v/>
      </c>
      <c r="C52" s="33" t="str">
        <f>IF(B52="","",MISSIONS!$C32)</f>
        <v/>
      </c>
      <c r="D52" s="34" t="str">
        <f>IF(B52="","",IF(MISSIONS!$E32="Obligation","Oblig.","Recom."))</f>
        <v/>
      </c>
      <c r="E52" s="35"/>
      <c r="F52" s="35"/>
      <c r="G52" s="35"/>
      <c r="H52" s="35"/>
      <c r="I52" s="35"/>
      <c r="J52" s="35"/>
      <c r="K52" s="35"/>
      <c r="L52" s="36" t="str">
        <f t="shared" si="1"/>
        <v/>
      </c>
    </row>
    <row r="53" spans="2:12" ht="30" customHeight="1">
      <c r="B53" s="32" t="str">
        <f>IF(OR(MISSIONS!$D33="",MISSIONS!$C33="",$K$22=""),"",IF(MISSIONS!$C33&lt;=$K$22,MISSIONS!$D33,""))</f>
        <v/>
      </c>
      <c r="C53" s="33" t="str">
        <f>IF(B53="","",MISSIONS!$C33)</f>
        <v/>
      </c>
      <c r="D53" s="34" t="str">
        <f>IF(B53="","",IF(MISSIONS!$E33="Obligation","Oblig.","Recom."))</f>
        <v/>
      </c>
      <c r="E53" s="35"/>
      <c r="F53" s="35"/>
      <c r="G53" s="35"/>
      <c r="H53" s="35"/>
      <c r="I53" s="35"/>
      <c r="J53" s="35"/>
      <c r="K53" s="35"/>
      <c r="L53" s="36" t="str">
        <f t="shared" si="1"/>
        <v/>
      </c>
    </row>
    <row r="54" spans="2:12" ht="30" customHeight="1">
      <c r="B54" s="32" t="str">
        <f>IF(OR(MISSIONS!$D34="",MISSIONS!$C34="",$K$22=""),"",IF(MISSIONS!$C34&lt;=$K$22,MISSIONS!$D34,""))</f>
        <v/>
      </c>
      <c r="C54" s="33" t="str">
        <f>IF(B54="","",MISSIONS!$C34)</f>
        <v/>
      </c>
      <c r="D54" s="34" t="str">
        <f>IF(B54="","",IF(MISSIONS!$E34="Obligation","Oblig.","Recom."))</f>
        <v/>
      </c>
      <c r="E54" s="35"/>
      <c r="F54" s="35"/>
      <c r="G54" s="35"/>
      <c r="H54" s="35"/>
      <c r="I54" s="35"/>
      <c r="J54" s="35"/>
      <c r="K54" s="35"/>
      <c r="L54" s="36" t="str">
        <f t="shared" si="1"/>
        <v/>
      </c>
    </row>
    <row r="55" spans="2:12" ht="30" customHeight="1">
      <c r="B55" s="32" t="str">
        <f>IF(OR(MISSIONS!$D35="",MISSIONS!$C35="",$K$22=""),"",IF(MISSIONS!$C35&lt;=$K$22,MISSIONS!$D35,""))</f>
        <v/>
      </c>
      <c r="C55" s="33" t="str">
        <f>IF(B55="","",MISSIONS!$C35)</f>
        <v/>
      </c>
      <c r="D55" s="34" t="str">
        <f>IF(B55="","",IF(MISSIONS!$E35="Obligation","Oblig.","Recom."))</f>
        <v/>
      </c>
      <c r="E55" s="35"/>
      <c r="F55" s="35"/>
      <c r="G55" s="35"/>
      <c r="H55" s="35"/>
      <c r="I55" s="35"/>
      <c r="J55" s="35"/>
      <c r="K55" s="35"/>
      <c r="L55" s="36" t="str">
        <f t="shared" si="1"/>
        <v/>
      </c>
    </row>
    <row r="56" spans="2:12" ht="30" customHeight="1">
      <c r="B56" s="32" t="str">
        <f>IF(OR(MISSIONS!$D36="",MISSIONS!$C36="",$K$22=""),"",IF(MISSIONS!$C36&lt;=$K$22,MISSIONS!$D36,""))</f>
        <v/>
      </c>
      <c r="C56" s="33" t="str">
        <f>IF(B56="","",MISSIONS!$C36)</f>
        <v/>
      </c>
      <c r="D56" s="34" t="str">
        <f>IF(B56="","",IF(MISSIONS!$E36="Obligation","Oblig.","Recom."))</f>
        <v/>
      </c>
      <c r="E56" s="35"/>
      <c r="F56" s="35"/>
      <c r="G56" s="35"/>
      <c r="H56" s="35"/>
      <c r="I56" s="35"/>
      <c r="J56" s="35"/>
      <c r="K56" s="35"/>
      <c r="L56" s="36" t="str">
        <f t="shared" si="1"/>
        <v/>
      </c>
    </row>
    <row r="57" spans="2:12" ht="30" customHeight="1">
      <c r="B57" s="32" t="str">
        <f>IF(OR(MISSIONS!$D37="",MISSIONS!$C37="",$K$22=""),"",IF(MISSIONS!$C37&lt;=$K$22,MISSIONS!$D37,""))</f>
        <v/>
      </c>
      <c r="C57" s="33" t="str">
        <f>IF(B57="","",MISSIONS!$C37)</f>
        <v/>
      </c>
      <c r="D57" s="34" t="str">
        <f>IF(B57="","",IF(MISSIONS!$E37="Obligation","Oblig.","Recom."))</f>
        <v/>
      </c>
      <c r="E57" s="35"/>
      <c r="F57" s="35"/>
      <c r="G57" s="35"/>
      <c r="H57" s="35"/>
      <c r="I57" s="35"/>
      <c r="J57" s="35"/>
      <c r="K57" s="35"/>
      <c r="L57" s="36" t="str">
        <f t="shared" si="1"/>
        <v/>
      </c>
    </row>
    <row r="58" spans="2:12" ht="30" customHeight="1">
      <c r="B58" s="32" t="str">
        <f>IF(OR(MISSIONS!$D38="",MISSIONS!$C38="",$K$22=""),"",IF(MISSIONS!$C38&lt;=$K$22,MISSIONS!$D38,""))</f>
        <v/>
      </c>
      <c r="C58" s="33" t="str">
        <f>IF(B58="","",MISSIONS!$C38)</f>
        <v/>
      </c>
      <c r="D58" s="34" t="str">
        <f>IF(B58="","",IF(MISSIONS!$E38="Obligation","Oblig.","Recom."))</f>
        <v/>
      </c>
      <c r="E58" s="35"/>
      <c r="F58" s="35"/>
      <c r="G58" s="35"/>
      <c r="H58" s="35"/>
      <c r="I58" s="35"/>
      <c r="J58" s="35"/>
      <c r="K58" s="35"/>
      <c r="L58" s="36" t="str">
        <f t="shared" si="1"/>
        <v/>
      </c>
    </row>
    <row r="59" spans="2:12" ht="30" customHeight="1">
      <c r="B59" s="32" t="str">
        <f>IF(OR(MISSIONS!$D39="",MISSIONS!$C39="",$K$22=""),"",IF(MISSIONS!$C39&lt;=$K$22,MISSIONS!$D39,""))</f>
        <v/>
      </c>
      <c r="C59" s="33" t="str">
        <f>IF(B59="","",MISSIONS!$C39)</f>
        <v/>
      </c>
      <c r="D59" s="34" t="str">
        <f>IF(B59="","",IF(MISSIONS!$E39="Obligation","Oblig.","Recom."))</f>
        <v/>
      </c>
      <c r="E59" s="35"/>
      <c r="F59" s="35"/>
      <c r="G59" s="35"/>
      <c r="H59" s="35"/>
      <c r="I59" s="35"/>
      <c r="J59" s="35"/>
      <c r="K59" s="35"/>
      <c r="L59" s="36" t="str">
        <f t="shared" si="1"/>
        <v/>
      </c>
    </row>
    <row r="60" spans="2:12" ht="30" customHeight="1">
      <c r="B60" s="32" t="str">
        <f>IF(OR(MISSIONS!$D40="",MISSIONS!$C40="",$K$22=""),"",IF(MISSIONS!$C40&lt;=$K$22,MISSIONS!$D40,""))</f>
        <v/>
      </c>
      <c r="C60" s="33" t="str">
        <f>IF(B60="","",MISSIONS!$C40)</f>
        <v/>
      </c>
      <c r="D60" s="34" t="str">
        <f>IF(B60="","",IF(MISSIONS!$E40="Obligation","Oblig.","Recom."))</f>
        <v/>
      </c>
      <c r="E60" s="35"/>
      <c r="F60" s="35"/>
      <c r="G60" s="35"/>
      <c r="H60" s="35"/>
      <c r="I60" s="35"/>
      <c r="J60" s="35"/>
      <c r="K60" s="35"/>
      <c r="L60" s="36" t="str">
        <f t="shared" si="1"/>
        <v/>
      </c>
    </row>
    <row r="61" spans="2:12" ht="30" customHeight="1">
      <c r="B61" s="32" t="str">
        <f>IF(OR(MISSIONS!$D41="",MISSIONS!$C41="",$K$22=""),"",IF(MISSIONS!$C41&lt;=$K$22,MISSIONS!$D41,""))</f>
        <v/>
      </c>
      <c r="C61" s="33" t="str">
        <f>IF(B61="","",MISSIONS!$C41)</f>
        <v/>
      </c>
      <c r="D61" s="34" t="str">
        <f>IF(B61="","",IF(MISSIONS!$E41="Obligation","Oblig.","Recom."))</f>
        <v/>
      </c>
      <c r="E61" s="35"/>
      <c r="F61" s="35"/>
      <c r="G61" s="35"/>
      <c r="H61" s="35"/>
      <c r="I61" s="35"/>
      <c r="J61" s="35"/>
      <c r="K61" s="35"/>
      <c r="L61" s="36" t="str">
        <f t="shared" si="1"/>
        <v/>
      </c>
    </row>
    <row r="62" spans="2:12" ht="30" customHeight="1">
      <c r="B62" s="32" t="str">
        <f>IF(OR(MISSIONS!$D42="",MISSIONS!$C42="",$K$22=""),"",IF(MISSIONS!$C42&lt;=$K$22,MISSIONS!$D42,""))</f>
        <v/>
      </c>
      <c r="C62" s="33" t="str">
        <f>IF(B62="","",MISSIONS!$C42)</f>
        <v/>
      </c>
      <c r="D62" s="34" t="str">
        <f>IF(B62="","",IF(MISSIONS!$E42="Obligation","Oblig.","Recom."))</f>
        <v/>
      </c>
      <c r="E62" s="35"/>
      <c r="F62" s="35"/>
      <c r="G62" s="35"/>
      <c r="H62" s="35"/>
      <c r="I62" s="35"/>
      <c r="J62" s="35"/>
      <c r="K62" s="35"/>
      <c r="L62" s="36" t="str">
        <f t="shared" si="1"/>
        <v/>
      </c>
    </row>
    <row r="63" spans="2:12" ht="30" customHeight="1">
      <c r="B63" s="32" t="str">
        <f>IF(OR(MISSIONS!$D43="",MISSIONS!$C43="",$K$22=""),"",IF(MISSIONS!$C43&lt;=$K$22,MISSIONS!$D43,""))</f>
        <v/>
      </c>
      <c r="C63" s="33" t="str">
        <f>IF(B63="","",MISSIONS!$C43)</f>
        <v/>
      </c>
      <c r="D63" s="34" t="str">
        <f>IF(B63="","",IF(MISSIONS!$E43="Obligation","Oblig.","Recom."))</f>
        <v/>
      </c>
      <c r="E63" s="35"/>
      <c r="F63" s="35"/>
      <c r="G63" s="35"/>
      <c r="H63" s="35"/>
      <c r="I63" s="35"/>
      <c r="J63" s="35"/>
      <c r="K63" s="35"/>
      <c r="L63" s="36" t="str">
        <f t="shared" si="1"/>
        <v/>
      </c>
    </row>
    <row r="64" spans="2:12" ht="30" customHeight="1">
      <c r="B64" s="32" t="str">
        <f>IF(OR(MISSIONS!$D44="",MISSIONS!$C44="",$K$22=""),"",IF(MISSIONS!$C44&lt;=$K$22,MISSIONS!$D44,""))</f>
        <v/>
      </c>
      <c r="C64" s="33" t="str">
        <f>IF(B64="","",MISSIONS!$C44)</f>
        <v/>
      </c>
      <c r="D64" s="34" t="str">
        <f>IF(B64="","",IF(MISSIONS!$E44="Obligation","Oblig.","Recom."))</f>
        <v/>
      </c>
      <c r="E64" s="35"/>
      <c r="F64" s="35"/>
      <c r="G64" s="35"/>
      <c r="H64" s="35"/>
      <c r="I64" s="35"/>
      <c r="J64" s="35"/>
      <c r="K64" s="35"/>
      <c r="L64" s="36" t="str">
        <f t="shared" si="1"/>
        <v/>
      </c>
    </row>
    <row r="65" spans="2:12" ht="30" customHeight="1">
      <c r="B65" s="32" t="str">
        <f>IF(OR(MISSIONS!$D45="",MISSIONS!$C45="",$K$22=""),"",IF(MISSIONS!$C45&lt;=$K$22,MISSIONS!$D45,""))</f>
        <v/>
      </c>
      <c r="C65" s="33" t="str">
        <f>IF(B65="","",MISSIONS!$C45)</f>
        <v/>
      </c>
      <c r="D65" s="34" t="str">
        <f>IF(B65="","",IF(MISSIONS!$E45="Obligation","Oblig.","Recom."))</f>
        <v/>
      </c>
      <c r="E65" s="35"/>
      <c r="F65" s="35"/>
      <c r="G65" s="35"/>
      <c r="H65" s="35"/>
      <c r="I65" s="35"/>
      <c r="J65" s="35"/>
      <c r="K65" s="35"/>
      <c r="L65" s="36" t="str">
        <f t="shared" si="1"/>
        <v/>
      </c>
    </row>
    <row r="66" spans="2:12" ht="30" customHeight="1">
      <c r="B66" s="32" t="str">
        <f>IF(OR(MISSIONS!$D46="",MISSIONS!$C46="",$K$22=""),"",IF(MISSIONS!$C46&lt;=$K$22,MISSIONS!$D46,""))</f>
        <v/>
      </c>
      <c r="C66" s="33" t="str">
        <f>IF(B66="","",MISSIONS!$C46)</f>
        <v/>
      </c>
      <c r="D66" s="34" t="str">
        <f>IF(B66="","",IF(MISSIONS!$E46="Obligation","Oblig.","Recom."))</f>
        <v/>
      </c>
      <c r="E66" s="35"/>
      <c r="F66" s="35"/>
      <c r="G66" s="35"/>
      <c r="H66" s="35"/>
      <c r="I66" s="35"/>
      <c r="J66" s="35"/>
      <c r="K66" s="35"/>
      <c r="L66" s="36" t="str">
        <f t="shared" si="1"/>
        <v/>
      </c>
    </row>
    <row r="67" spans="2:12" ht="30" customHeight="1">
      <c r="B67" s="32" t="str">
        <f>IF(OR(MISSIONS!$D47="",MISSIONS!$C47="",$K$22=""),"",IF(MISSIONS!$C47&lt;=$K$22,MISSIONS!$D47,""))</f>
        <v/>
      </c>
      <c r="C67" s="33" t="str">
        <f>IF(B67="","",MISSIONS!$C47)</f>
        <v/>
      </c>
      <c r="D67" s="34" t="str">
        <f>IF(B67="","",IF(MISSIONS!$E47="Obligation","Oblig.","Recom."))</f>
        <v/>
      </c>
      <c r="E67" s="35"/>
      <c r="F67" s="35"/>
      <c r="G67" s="35"/>
      <c r="H67" s="35"/>
      <c r="I67" s="35"/>
      <c r="J67" s="35"/>
      <c r="K67" s="35"/>
      <c r="L67" s="36" t="str">
        <f t="shared" si="1"/>
        <v/>
      </c>
    </row>
    <row r="68" spans="2:12" ht="24" customHeight="1">
      <c r="B68" s="25" t="s">
        <v>82</v>
      </c>
      <c r="C68" s="26"/>
      <c r="D68" s="26"/>
      <c r="E68" s="36" t="str">
        <f>IF(CALCULS!E7="","",CALCULS!E7)</f>
        <v/>
      </c>
      <c r="F68" s="36" t="str">
        <f>IF(CALCULS!F7="","",CALCULS!F7)</f>
        <v/>
      </c>
      <c r="G68" s="36" t="str">
        <f>IF(CALCULS!G7="","",CALCULS!G7)</f>
        <v/>
      </c>
      <c r="H68" s="36" t="str">
        <f>IF(CALCULS!H7="","",CALCULS!H7)</f>
        <v/>
      </c>
      <c r="I68" s="36" t="str">
        <f>IF(CALCULS!I7="","",CALCULS!I7)</f>
        <v/>
      </c>
      <c r="J68" s="36" t="str">
        <f>IF(CALCULS!J7="","",CALCULS!J7)</f>
        <v/>
      </c>
      <c r="K68" s="36" t="str">
        <f>IF(CALCULS!K7="","",CALCULS!K7)</f>
        <v/>
      </c>
      <c r="L68" s="37" t="str">
        <f>IF(CALCULS!L7="","—",CALCULS!L7)</f>
        <v>—</v>
      </c>
    </row>
    <row r="70" spans="2:12" ht="25.5" customHeight="1">
      <c r="B70" s="8" t="s">
        <v>83</v>
      </c>
      <c r="C70" s="8"/>
      <c r="D70" s="8"/>
      <c r="E70" s="8"/>
      <c r="F70" s="8"/>
      <c r="G70" s="8"/>
      <c r="H70" s="8"/>
      <c r="I70" s="8"/>
      <c r="J70" s="8"/>
      <c r="K70" s="8"/>
      <c r="L70" s="8"/>
    </row>
    <row r="71" spans="2:12" ht="21.75" customHeight="1">
      <c r="B71" s="29" t="s">
        <v>84</v>
      </c>
      <c r="C71" s="30" t="s">
        <v>85</v>
      </c>
      <c r="D71" s="30"/>
      <c r="E71" s="31" t="str">
        <f>IF(E$21="","Lun",CHOOSE(WEEKDAY(E$21,2),"Lun","Mar","Mer","Jeu","Ven","Sam","Dim")&amp;" "&amp;RIGHT("0"&amp;DAY(E$21),2)&amp;"/"&amp;RIGHT("0"&amp;MONTH(E$21),2))</f>
        <v>Lun</v>
      </c>
      <c r="F71" s="31" t="str">
        <f>IF(F$21="","Mar",CHOOSE(WEEKDAY(F$21,2),"Lun","Mar","Mer","Jeu","Ven","Sam","Dim")&amp;" "&amp;RIGHT("0"&amp;DAY(F$21),2)&amp;"/"&amp;RIGHT("0"&amp;MONTH(F$21),2))</f>
        <v>Mar</v>
      </c>
      <c r="G71" s="31" t="str">
        <f>IF(G$21="","Mer",CHOOSE(WEEKDAY(G$21,2),"Lun","Mar","Mer","Jeu","Ven","Sam","Dim")&amp;" "&amp;RIGHT("0"&amp;DAY(G$21),2)&amp;"/"&amp;RIGHT("0"&amp;MONTH(G$21),2))</f>
        <v>Mer</v>
      </c>
      <c r="H71" s="31" t="str">
        <f>IF(H$21="","Jeu",CHOOSE(WEEKDAY(H$21,2),"Lun","Mar","Mer","Jeu","Ven","Sam","Dim")&amp;" "&amp;RIGHT("0"&amp;DAY(H$21),2)&amp;"/"&amp;RIGHT("0"&amp;MONTH(H$21),2))</f>
        <v>Jeu</v>
      </c>
      <c r="I71" s="31" t="str">
        <f>IF(I$21="","Ven",CHOOSE(WEEKDAY(I$21,2),"Lun","Mar","Mer","Jeu","Ven","Sam","Dim")&amp;" "&amp;RIGHT("0"&amp;DAY(I$21),2)&amp;"/"&amp;RIGHT("0"&amp;MONTH(I$21),2))</f>
        <v>Ven</v>
      </c>
      <c r="J71" s="31" t="str">
        <f>IF(J$21="","Sam",CHOOSE(WEEKDAY(J$21,2),"Lun","Mar","Mer","Jeu","Ven","Sam","Dim")&amp;" "&amp;RIGHT("0"&amp;DAY(J$21),2)&amp;"/"&amp;RIGHT("0"&amp;MONTH(J$21),2))</f>
        <v>Sam</v>
      </c>
      <c r="K71" s="31" t="str">
        <f>IF(K$21="","Dim",CHOOSE(WEEKDAY(K$21,2),"Lun","Mar","Mer","Jeu","Ven","Sam","Dim")&amp;" "&amp;RIGHT("0"&amp;DAY(K$21),2)&amp;"/"&amp;RIGHT("0"&amp;MONTH(K$21),2))</f>
        <v>Dim</v>
      </c>
      <c r="L71" s="30" t="s">
        <v>86</v>
      </c>
    </row>
    <row r="72" spans="2:12" ht="21.75" customHeight="1">
      <c r="B72" s="20" t="s">
        <v>87</v>
      </c>
      <c r="C72" s="58">
        <f>$C$12</f>
        <v>2</v>
      </c>
      <c r="D72" s="58"/>
      <c r="E72" s="38"/>
      <c r="F72" s="38"/>
      <c r="G72" s="38"/>
      <c r="H72" s="38"/>
      <c r="I72" s="38"/>
      <c r="J72" s="38"/>
      <c r="K72" s="38"/>
      <c r="L72" s="36" t="str">
        <f>IF(CALCULS!L9="","",CALCULS!L9)</f>
        <v/>
      </c>
    </row>
    <row r="73" spans="2:12">
      <c r="B73" s="39" t="s">
        <v>88</v>
      </c>
      <c r="C73" s="26"/>
      <c r="D73" s="26"/>
      <c r="E73" s="22" t="str">
        <f t="shared" ref="E73:K73" si="2">IF(E72="","",IF(E72&gt;=$C$72,"✓","○"))</f>
        <v/>
      </c>
      <c r="F73" s="22" t="str">
        <f t="shared" si="2"/>
        <v/>
      </c>
      <c r="G73" s="22" t="str">
        <f t="shared" si="2"/>
        <v/>
      </c>
      <c r="H73" s="22" t="str">
        <f t="shared" si="2"/>
        <v/>
      </c>
      <c r="I73" s="22" t="str">
        <f t="shared" si="2"/>
        <v/>
      </c>
      <c r="J73" s="22" t="str">
        <f t="shared" si="2"/>
        <v/>
      </c>
      <c r="K73" s="22" t="str">
        <f t="shared" si="2"/>
        <v/>
      </c>
    </row>
    <row r="74" spans="2:12" ht="21.75" customHeight="1">
      <c r="B74" s="20" t="s">
        <v>89</v>
      </c>
      <c r="C74" s="59">
        <f>$C$13</f>
        <v>2</v>
      </c>
      <c r="D74" s="59"/>
      <c r="E74" s="23"/>
      <c r="F74" s="23"/>
      <c r="G74" s="23"/>
      <c r="H74" s="23"/>
      <c r="I74" s="23"/>
      <c r="J74" s="23"/>
      <c r="K74" s="23"/>
      <c r="L74" s="36" t="str">
        <f>IF(CALCULS!L10="","",CALCULS!L10)</f>
        <v/>
      </c>
    </row>
    <row r="75" spans="2:12" ht="21.75" customHeight="1">
      <c r="B75" s="20" t="s">
        <v>90</v>
      </c>
      <c r="C75" s="60" t="s">
        <v>91</v>
      </c>
      <c r="D75" s="60"/>
      <c r="E75" s="35"/>
      <c r="F75" s="35"/>
      <c r="G75" s="35"/>
      <c r="H75" s="35"/>
      <c r="I75" s="35"/>
      <c r="J75" s="35"/>
      <c r="K75" s="35"/>
      <c r="L75" s="36" t="str">
        <f>IF(CALCULS!L11="","",CALCULS!L11)</f>
        <v/>
      </c>
    </row>
    <row r="76" spans="2:12" ht="24" customHeight="1">
      <c r="B76" s="25" t="s">
        <v>92</v>
      </c>
      <c r="C76" s="26"/>
      <c r="D76" s="26"/>
      <c r="E76" s="36" t="str">
        <f>IF(CALCULS!E13="","",CALCULS!E13)</f>
        <v/>
      </c>
      <c r="F76" s="36" t="str">
        <f>IF(CALCULS!F13="","",CALCULS!F13)</f>
        <v/>
      </c>
      <c r="G76" s="36" t="str">
        <f>IF(CALCULS!G13="","",CALCULS!G13)</f>
        <v/>
      </c>
      <c r="H76" s="36" t="str">
        <f>IF(CALCULS!H13="","",CALCULS!H13)</f>
        <v/>
      </c>
      <c r="I76" s="36" t="str">
        <f>IF(CALCULS!I13="","",CALCULS!I13)</f>
        <v/>
      </c>
      <c r="J76" s="36" t="str">
        <f>IF(CALCULS!J13="","",CALCULS!J13)</f>
        <v/>
      </c>
      <c r="K76" s="36" t="str">
        <f>IF(CALCULS!K13="","",CALCULS!K13)</f>
        <v/>
      </c>
      <c r="L76" s="37" t="str">
        <f>IF(CALCULS!L13="","—",CALCULS!L13)</f>
        <v>—</v>
      </c>
    </row>
    <row r="78" spans="2:12" ht="25.5" customHeight="1">
      <c r="B78" s="8" t="s">
        <v>93</v>
      </c>
      <c r="C78" s="8"/>
      <c r="D78" s="8"/>
      <c r="E78" s="8"/>
      <c r="F78" s="8"/>
      <c r="G78" s="8"/>
      <c r="H78" s="8"/>
      <c r="I78" s="8"/>
      <c r="J78" s="8"/>
      <c r="K78" s="8"/>
      <c r="L78" s="8"/>
    </row>
    <row r="79" spans="2:12" ht="21.75" customHeight="1">
      <c r="B79" s="29" t="s">
        <v>84</v>
      </c>
      <c r="C79" s="30" t="s">
        <v>85</v>
      </c>
      <c r="D79" s="30"/>
      <c r="E79" s="31" t="str">
        <f>IF(E$21="","Lun",CHOOSE(WEEKDAY(E$21,2),"Lun","Mar","Mer","Jeu","Ven","Sam","Dim")&amp;" "&amp;RIGHT("0"&amp;DAY(E$21),2)&amp;"/"&amp;RIGHT("0"&amp;MONTH(E$21),2))</f>
        <v>Lun</v>
      </c>
      <c r="F79" s="31" t="str">
        <f>IF(F$21="","Mar",CHOOSE(WEEKDAY(F$21,2),"Lun","Mar","Mer","Jeu","Ven","Sam","Dim")&amp;" "&amp;RIGHT("0"&amp;DAY(F$21),2)&amp;"/"&amp;RIGHT("0"&amp;MONTH(F$21),2))</f>
        <v>Mar</v>
      </c>
      <c r="G79" s="31" t="str">
        <f>IF(G$21="","Mer",CHOOSE(WEEKDAY(G$21,2),"Lun","Mar","Mer","Jeu","Ven","Sam","Dim")&amp;" "&amp;RIGHT("0"&amp;DAY(G$21),2)&amp;"/"&amp;RIGHT("0"&amp;MONTH(G$21),2))</f>
        <v>Mer</v>
      </c>
      <c r="H79" s="31" t="str">
        <f>IF(H$21="","Jeu",CHOOSE(WEEKDAY(H$21,2),"Lun","Mar","Mer","Jeu","Ven","Sam","Dim")&amp;" "&amp;RIGHT("0"&amp;DAY(H$21),2)&amp;"/"&amp;RIGHT("0"&amp;MONTH(H$21),2))</f>
        <v>Jeu</v>
      </c>
      <c r="I79" s="31" t="str">
        <f>IF(I$21="","Ven",CHOOSE(WEEKDAY(I$21,2),"Lun","Mar","Mer","Jeu","Ven","Sam","Dim")&amp;" "&amp;RIGHT("0"&amp;DAY(I$21),2)&amp;"/"&amp;RIGHT("0"&amp;MONTH(I$21),2))</f>
        <v>Ven</v>
      </c>
      <c r="J79" s="31" t="str">
        <f>IF(J$21="","Sam",CHOOSE(WEEKDAY(J$21,2),"Lun","Mar","Mer","Jeu","Ven","Sam","Dim")&amp;" "&amp;RIGHT("0"&amp;DAY(J$21),2)&amp;"/"&amp;RIGHT("0"&amp;MONTH(J$21),2))</f>
        <v>Sam</v>
      </c>
      <c r="K79" s="31" t="str">
        <f>IF(K$21="","Dim",CHOOSE(WEEKDAY(K$21,2),"Lun","Mar","Mer","Jeu","Ven","Sam","Dim")&amp;" "&amp;RIGHT("0"&amp;DAY(K$21),2)&amp;"/"&amp;RIGHT("0"&amp;MONTH(K$21),2))</f>
        <v>Dim</v>
      </c>
      <c r="L79" s="30" t="s">
        <v>86</v>
      </c>
    </row>
    <row r="80" spans="2:12" ht="21.75" customHeight="1">
      <c r="B80" s="20" t="s">
        <v>94</v>
      </c>
      <c r="C80" s="61">
        <f>$C$14</f>
        <v>7.5</v>
      </c>
      <c r="D80" s="61"/>
      <c r="E80" s="38"/>
      <c r="F80" s="38"/>
      <c r="G80" s="38"/>
      <c r="H80" s="38"/>
      <c r="I80" s="38"/>
      <c r="J80" s="38"/>
      <c r="K80" s="38"/>
      <c r="L80" s="36" t="str">
        <f>IF(CALCULS!L15="","",CALCULS!L15)</f>
        <v/>
      </c>
    </row>
    <row r="81" spans="2:12" ht="21.75" customHeight="1">
      <c r="B81" s="20" t="s">
        <v>95</v>
      </c>
      <c r="C81" s="62">
        <f>$C$15</f>
        <v>0.95833333333333304</v>
      </c>
      <c r="D81" s="62"/>
      <c r="E81" s="24"/>
      <c r="F81" s="24"/>
      <c r="G81" s="24"/>
      <c r="H81" s="24"/>
      <c r="I81" s="24"/>
      <c r="J81" s="24"/>
      <c r="K81" s="24"/>
      <c r="L81" s="36" t="str">
        <f>IF(CALCULS!L16="","",CALCULS!L16)</f>
        <v/>
      </c>
    </row>
    <row r="82" spans="2:12">
      <c r="B82" s="39" t="s">
        <v>96</v>
      </c>
      <c r="C82" s="26"/>
      <c r="D82" s="26"/>
      <c r="E82" s="22" t="str">
        <f>IF(CALCULS!E16="","",IF(CALCULS!E16=1,"✓","○"))</f>
        <v/>
      </c>
      <c r="F82" s="22" t="str">
        <f>IF(CALCULS!F16="","",IF(CALCULS!F16=1,"✓","○"))</f>
        <v/>
      </c>
      <c r="G82" s="22" t="str">
        <f>IF(CALCULS!G16="","",IF(CALCULS!G16=1,"✓","○"))</f>
        <v/>
      </c>
      <c r="H82" s="22" t="str">
        <f>IF(CALCULS!H16="","",IF(CALCULS!H16=1,"✓","○"))</f>
        <v/>
      </c>
      <c r="I82" s="22" t="str">
        <f>IF(CALCULS!I16="","",IF(CALCULS!I16=1,"✓","○"))</f>
        <v/>
      </c>
      <c r="J82" s="22" t="str">
        <f>IF(CALCULS!J16="","",IF(CALCULS!J16=1,"✓","○"))</f>
        <v/>
      </c>
      <c r="K82" s="22" t="str">
        <f>IF(CALCULS!K16="","",IF(CALCULS!K16=1,"✓","○"))</f>
        <v/>
      </c>
    </row>
    <row r="83" spans="2:12" ht="21.75" customHeight="1">
      <c r="B83" s="20" t="s">
        <v>97</v>
      </c>
      <c r="C83" s="60" t="s">
        <v>91</v>
      </c>
      <c r="D83" s="60"/>
      <c r="E83" s="35"/>
      <c r="F83" s="35"/>
      <c r="G83" s="35"/>
      <c r="H83" s="35"/>
      <c r="I83" s="35"/>
      <c r="J83" s="35"/>
      <c r="K83" s="35"/>
      <c r="L83" s="36" t="str">
        <f>IF(CALCULS!L17="","",CALCULS!L17)</f>
        <v/>
      </c>
    </row>
    <row r="84" spans="2:12" ht="24" customHeight="1">
      <c r="B84" s="25" t="s">
        <v>98</v>
      </c>
      <c r="C84" s="26"/>
      <c r="D84" s="26"/>
      <c r="E84" s="36" t="str">
        <f>IF(CALCULS!E19="","",CALCULS!E19)</f>
        <v/>
      </c>
      <c r="F84" s="36" t="str">
        <f>IF(CALCULS!F19="","",CALCULS!F19)</f>
        <v/>
      </c>
      <c r="G84" s="36" t="str">
        <f>IF(CALCULS!G19="","",CALCULS!G19)</f>
        <v/>
      </c>
      <c r="H84" s="36" t="str">
        <f>IF(CALCULS!H19="","",CALCULS!H19)</f>
        <v/>
      </c>
      <c r="I84" s="36" t="str">
        <f>IF(CALCULS!I19="","",CALCULS!I19)</f>
        <v/>
      </c>
      <c r="J84" s="36" t="str">
        <f>IF(CALCULS!J19="","",CALCULS!J19)</f>
        <v/>
      </c>
      <c r="K84" s="36" t="str">
        <f>IF(CALCULS!K19="","",CALCULS!K19)</f>
        <v/>
      </c>
      <c r="L84" s="37" t="str">
        <f>IF(CALCULS!L19="","—",CALCULS!L19)</f>
        <v>—</v>
      </c>
    </row>
    <row r="86" spans="2:12" ht="25.5" customHeight="1">
      <c r="B86" s="8" t="s">
        <v>99</v>
      </c>
      <c r="C86" s="8"/>
      <c r="D86" s="8"/>
      <c r="E86" s="8"/>
      <c r="F86" s="8"/>
      <c r="G86" s="8"/>
      <c r="H86" s="8"/>
      <c r="I86" s="8"/>
      <c r="J86" s="8"/>
      <c r="K86" s="8"/>
      <c r="L86" s="8"/>
    </row>
    <row r="87" spans="2:12" ht="21.75" customHeight="1">
      <c r="B87" s="29" t="s">
        <v>84</v>
      </c>
      <c r="C87" s="30" t="s">
        <v>85</v>
      </c>
      <c r="D87" s="30"/>
      <c r="E87" s="31" t="str">
        <f>IF(E$21="","Lun",CHOOSE(WEEKDAY(E$21,2),"Lun","Mar","Mer","Jeu","Ven","Sam","Dim")&amp;" "&amp;RIGHT("0"&amp;DAY(E$21),2)&amp;"/"&amp;RIGHT("0"&amp;MONTH(E$21),2))</f>
        <v>Lun</v>
      </c>
      <c r="F87" s="31" t="str">
        <f>IF(F$21="","Mar",CHOOSE(WEEKDAY(F$21,2),"Lun","Mar","Mer","Jeu","Ven","Sam","Dim")&amp;" "&amp;RIGHT("0"&amp;DAY(F$21),2)&amp;"/"&amp;RIGHT("0"&amp;MONTH(F$21),2))</f>
        <v>Mar</v>
      </c>
      <c r="G87" s="31" t="str">
        <f>IF(G$21="","Mer",CHOOSE(WEEKDAY(G$21,2),"Lun","Mar","Mer","Jeu","Ven","Sam","Dim")&amp;" "&amp;RIGHT("0"&amp;DAY(G$21),2)&amp;"/"&amp;RIGHT("0"&amp;MONTH(G$21),2))</f>
        <v>Mer</v>
      </c>
      <c r="H87" s="31" t="str">
        <f>IF(H$21="","Jeu",CHOOSE(WEEKDAY(H$21,2),"Lun","Mar","Mer","Jeu","Ven","Sam","Dim")&amp;" "&amp;RIGHT("0"&amp;DAY(H$21),2)&amp;"/"&amp;RIGHT("0"&amp;MONTH(H$21),2))</f>
        <v>Jeu</v>
      </c>
      <c r="I87" s="31" t="str">
        <f>IF(I$21="","Ven",CHOOSE(WEEKDAY(I$21,2),"Lun","Mar","Mer","Jeu","Ven","Sam","Dim")&amp;" "&amp;RIGHT("0"&amp;DAY(I$21),2)&amp;"/"&amp;RIGHT("0"&amp;MONTH(I$21),2))</f>
        <v>Ven</v>
      </c>
      <c r="J87" s="31" t="str">
        <f>IF(J$21="","Sam",CHOOSE(WEEKDAY(J$21,2),"Lun","Mar","Mer","Jeu","Ven","Sam","Dim")&amp;" "&amp;RIGHT("0"&amp;DAY(J$21),2)&amp;"/"&amp;RIGHT("0"&amp;MONTH(J$21),2))</f>
        <v>Sam</v>
      </c>
      <c r="K87" s="31" t="str">
        <f>IF(K$21="","Dim",CHOOSE(WEEKDAY(K$21,2),"Lun","Mar","Mer","Jeu","Ven","Sam","Dim")&amp;" "&amp;RIGHT("0"&amp;DAY(K$21),2)&amp;"/"&amp;RIGHT("0"&amp;MONTH(K$21),2))</f>
        <v>Dim</v>
      </c>
      <c r="L87" s="30" t="s">
        <v>86</v>
      </c>
    </row>
    <row r="88" spans="2:12" ht="21.75" customHeight="1">
      <c r="B88" s="20" t="s">
        <v>100</v>
      </c>
      <c r="C88" s="63">
        <f>$C$17</f>
        <v>20</v>
      </c>
      <c r="D88" s="63"/>
      <c r="E88" s="23"/>
      <c r="F88" s="23"/>
      <c r="G88" s="23"/>
      <c r="H88" s="23"/>
      <c r="I88" s="23"/>
      <c r="J88" s="23"/>
      <c r="K88" s="23"/>
      <c r="L88" s="36" t="str">
        <f>IF(CALCULS!L21="","",CALCULS!L21)</f>
        <v/>
      </c>
    </row>
    <row r="89" spans="2:12" ht="21.75" customHeight="1">
      <c r="B89" s="20" t="s">
        <v>101</v>
      </c>
      <c r="C89" s="60" t="s">
        <v>91</v>
      </c>
      <c r="D89" s="60"/>
      <c r="E89" s="35"/>
      <c r="F89" s="35"/>
      <c r="G89" s="35"/>
      <c r="H89" s="35"/>
      <c r="I89" s="35"/>
      <c r="J89" s="35"/>
      <c r="K89" s="35"/>
    </row>
    <row r="90" spans="2:12" ht="21.75" customHeight="1">
      <c r="B90" s="20" t="s">
        <v>102</v>
      </c>
      <c r="C90" s="60" t="s">
        <v>91</v>
      </c>
      <c r="D90" s="60"/>
      <c r="E90" s="35"/>
      <c r="F90" s="35"/>
      <c r="G90" s="35"/>
      <c r="H90" s="35"/>
      <c r="I90" s="35"/>
      <c r="J90" s="35"/>
      <c r="K90" s="35"/>
      <c r="L90" s="36" t="str">
        <f>IF(CALCULS!L22="","",CALCULS!L22)</f>
        <v/>
      </c>
    </row>
    <row r="91" spans="2:12">
      <c r="B91" s="39" t="s">
        <v>103</v>
      </c>
      <c r="C91" s="26"/>
      <c r="D91" s="26"/>
      <c r="E91" s="22" t="str">
        <f>IF(CALCULS!E24=0,"",IF(CALCULS!E23=1,"✓","○"))</f>
        <v/>
      </c>
      <c r="F91" s="22" t="str">
        <f>IF(CALCULS!F24=0,"",IF(CALCULS!F23=1,"✓","○"))</f>
        <v/>
      </c>
      <c r="G91" s="22" t="str">
        <f>IF(CALCULS!G24=0,"",IF(CALCULS!G23=1,"✓","○"))</f>
        <v/>
      </c>
      <c r="H91" s="22" t="str">
        <f>IF(CALCULS!H24=0,"",IF(CALCULS!H23=1,"✓","○"))</f>
        <v/>
      </c>
      <c r="I91" s="22" t="str">
        <f>IF(CALCULS!I24=0,"",IF(CALCULS!I23=1,"✓","○"))</f>
        <v/>
      </c>
      <c r="J91" s="22" t="str">
        <f>IF(CALCULS!J24=0,"",IF(CALCULS!J23=1,"✓","○"))</f>
        <v/>
      </c>
      <c r="K91" s="22" t="str">
        <f>IF(CALCULS!K24=0,"",IF(CALCULS!K23=1,"✓","○"))</f>
        <v/>
      </c>
      <c r="L91" s="36" t="str">
        <f>IF(CALCULS!L23="","",CALCULS!L23)</f>
        <v/>
      </c>
    </row>
    <row r="92" spans="2:12" ht="24" customHeight="1">
      <c r="B92" s="25" t="s">
        <v>104</v>
      </c>
      <c r="C92" s="26"/>
      <c r="D92" s="26"/>
      <c r="E92" s="36" t="str">
        <f>IF(CALCULS!E25="","",CALCULS!E25)</f>
        <v/>
      </c>
      <c r="F92" s="36" t="str">
        <f>IF(CALCULS!F25="","",CALCULS!F25)</f>
        <v/>
      </c>
      <c r="G92" s="36" t="str">
        <f>IF(CALCULS!G25="","",CALCULS!G25)</f>
        <v/>
      </c>
      <c r="H92" s="36" t="str">
        <f>IF(CALCULS!H25="","",CALCULS!H25)</f>
        <v/>
      </c>
      <c r="I92" s="36" t="str">
        <f>IF(CALCULS!I25="","",CALCULS!I25)</f>
        <v/>
      </c>
      <c r="J92" s="36" t="str">
        <f>IF(CALCULS!J25="","",CALCULS!J25)</f>
        <v/>
      </c>
      <c r="K92" s="36" t="str">
        <f>IF(CALCULS!K25="","",CALCULS!K25)</f>
        <v/>
      </c>
      <c r="L92" s="37" t="str">
        <f>IF(CALCULS!L25="","—",CALCULS!L25)</f>
        <v>—</v>
      </c>
    </row>
    <row r="93" spans="2:12" ht="15" customHeight="1">
      <c r="B93" s="9" t="s">
        <v>105</v>
      </c>
      <c r="C93" s="9"/>
      <c r="D93" s="9"/>
      <c r="E93" s="9"/>
      <c r="F93" s="9"/>
      <c r="G93" s="9"/>
      <c r="H93" s="9"/>
      <c r="I93" s="9"/>
      <c r="J93" s="9"/>
      <c r="K93" s="9"/>
      <c r="L93" s="9"/>
    </row>
    <row r="95" spans="2:12" ht="25.5" customHeight="1">
      <c r="B95" s="8" t="s">
        <v>106</v>
      </c>
      <c r="C95" s="8"/>
      <c r="D95" s="8"/>
      <c r="E95" s="8"/>
      <c r="F95" s="8"/>
      <c r="G95" s="8"/>
      <c r="H95" s="8"/>
      <c r="I95" s="8"/>
      <c r="J95" s="8"/>
      <c r="K95" s="8"/>
      <c r="L95" s="8"/>
    </row>
    <row r="96" spans="2:12" ht="21.75" customHeight="1">
      <c r="B96" s="29"/>
      <c r="C96" s="30"/>
      <c r="D96" s="30"/>
      <c r="E96" s="31" t="str">
        <f>IF(E$21="","Lun",CHOOSE(WEEKDAY(E$21,2),"Lun","Mar","Mer","Jeu","Ven","Sam","Dim")&amp;" "&amp;RIGHT("0"&amp;DAY(E$21),2)&amp;"/"&amp;RIGHT("0"&amp;MONTH(E$21),2))</f>
        <v>Lun</v>
      </c>
      <c r="F96" s="31" t="str">
        <f>IF(F$21="","Mar",CHOOSE(WEEKDAY(F$21,2),"Lun","Mar","Mer","Jeu","Ven","Sam","Dim")&amp;" "&amp;RIGHT("0"&amp;DAY(F$21),2)&amp;"/"&amp;RIGHT("0"&amp;MONTH(F$21),2))</f>
        <v>Mar</v>
      </c>
      <c r="G96" s="31" t="str">
        <f>IF(G$21="","Mer",CHOOSE(WEEKDAY(G$21,2),"Lun","Mar","Mer","Jeu","Ven","Sam","Dim")&amp;" "&amp;RIGHT("0"&amp;DAY(G$21),2)&amp;"/"&amp;RIGHT("0"&amp;MONTH(G$21),2))</f>
        <v>Mer</v>
      </c>
      <c r="H96" s="31" t="str">
        <f>IF(H$21="","Jeu",CHOOSE(WEEKDAY(H$21,2),"Lun","Mar","Mer","Jeu","Ven","Sam","Dim")&amp;" "&amp;RIGHT("0"&amp;DAY(H$21),2)&amp;"/"&amp;RIGHT("0"&amp;MONTH(H$21),2))</f>
        <v>Jeu</v>
      </c>
      <c r="I96" s="31" t="str">
        <f>IF(I$21="","Ven",CHOOSE(WEEKDAY(I$21,2),"Lun","Mar","Mer","Jeu","Ven","Sam","Dim")&amp;" "&amp;RIGHT("0"&amp;DAY(I$21),2)&amp;"/"&amp;RIGHT("0"&amp;MONTH(I$21),2))</f>
        <v>Ven</v>
      </c>
      <c r="J96" s="31" t="str">
        <f>IF(J$21="","Sam",CHOOSE(WEEKDAY(J$21,2),"Lun","Mar","Mer","Jeu","Ven","Sam","Dim")&amp;" "&amp;RIGHT("0"&amp;DAY(J$21),2)&amp;"/"&amp;RIGHT("0"&amp;MONTH(J$21),2))</f>
        <v>Sam</v>
      </c>
      <c r="K96" s="31" t="str">
        <f>IF(K$21="","Dim",CHOOSE(WEEKDAY(K$21,2),"Lun","Mar","Mer","Jeu","Ven","Sam","Dim")&amp;" "&amp;RIGHT("0"&amp;DAY(K$21),2)&amp;"/"&amp;RIGHT("0"&amp;MONTH(K$21),2))</f>
        <v>Dim</v>
      </c>
      <c r="L96" s="30"/>
    </row>
    <row r="97" spans="2:11" ht="60" customHeight="1">
      <c r="B97" s="39" t="s">
        <v>107</v>
      </c>
      <c r="E97" s="41"/>
      <c r="F97" s="41"/>
      <c r="G97" s="41"/>
      <c r="H97" s="41"/>
      <c r="I97" s="41"/>
      <c r="J97" s="41"/>
      <c r="K97" s="41"/>
    </row>
  </sheetData>
  <sheetProtection sheet="1" formatColumns="0" formatRows="0"/>
  <mergeCells count="48">
    <mergeCell ref="C88:D88"/>
    <mergeCell ref="C89:D89"/>
    <mergeCell ref="C90:D90"/>
    <mergeCell ref="B93:L93"/>
    <mergeCell ref="B95:L95"/>
    <mergeCell ref="B78:L78"/>
    <mergeCell ref="C80:D80"/>
    <mergeCell ref="C81:D81"/>
    <mergeCell ref="C83:D83"/>
    <mergeCell ref="B86:L86"/>
    <mergeCell ref="B27:L27"/>
    <mergeCell ref="B70:L70"/>
    <mergeCell ref="C72:D72"/>
    <mergeCell ref="C74:D74"/>
    <mergeCell ref="C75:D75"/>
    <mergeCell ref="C18:D18"/>
    <mergeCell ref="E18:L18"/>
    <mergeCell ref="B20:L20"/>
    <mergeCell ref="B24:L24"/>
    <mergeCell ref="B26:L26"/>
    <mergeCell ref="C15:D15"/>
    <mergeCell ref="E15:L15"/>
    <mergeCell ref="C16:D16"/>
    <mergeCell ref="E16:L16"/>
    <mergeCell ref="C17:D17"/>
    <mergeCell ref="E17:L17"/>
    <mergeCell ref="C12:D12"/>
    <mergeCell ref="E12:L12"/>
    <mergeCell ref="C13:D13"/>
    <mergeCell ref="E13:L13"/>
    <mergeCell ref="C14:D14"/>
    <mergeCell ref="E14:L14"/>
    <mergeCell ref="C8:F8"/>
    <mergeCell ref="H8:J8"/>
    <mergeCell ref="K8:L8"/>
    <mergeCell ref="C9:L9"/>
    <mergeCell ref="B11:L11"/>
    <mergeCell ref="C6:F6"/>
    <mergeCell ref="H6:J6"/>
    <mergeCell ref="K6:L6"/>
    <mergeCell ref="C7:F7"/>
    <mergeCell ref="H7:J7"/>
    <mergeCell ref="K7:L7"/>
    <mergeCell ref="B1:L1"/>
    <mergeCell ref="B2:L2"/>
    <mergeCell ref="K3:L3"/>
    <mergeCell ref="B4:L4"/>
    <mergeCell ref="B5:L5"/>
  </mergeCells>
  <conditionalFormatting sqref="E28:K67">
    <cfRule type="expression" dxfId="16" priority="2">
      <formula>$B28=""</formula>
    </cfRule>
    <cfRule type="expression" dxfId="15" priority="3">
      <formula>OR(E$22="",E$22&lt;$C28)</formula>
    </cfRule>
    <cfRule type="cellIs" dxfId="14" priority="4" operator="equal">
      <formula>"Fait"</formula>
    </cfRule>
    <cfRule type="cellIs" dxfId="13" priority="5" operator="equal">
      <formula>"Pas fait"</formula>
    </cfRule>
    <cfRule type="cellIs" dxfId="12" priority="6" operator="equal">
      <formula>"N/A"</formula>
    </cfRule>
  </conditionalFormatting>
  <conditionalFormatting sqref="B28:D67">
    <cfRule type="expression" dxfId="11" priority="7">
      <formula>$B28=""</formula>
    </cfRule>
  </conditionalFormatting>
  <conditionalFormatting sqref="E75:K75">
    <cfRule type="cellIs" dxfId="10" priority="8" operator="equal">
      <formula>"Oui"</formula>
    </cfRule>
    <cfRule type="cellIs" dxfId="9" priority="9" operator="equal">
      <formula>"Non"</formula>
    </cfRule>
    <cfRule type="cellIs" dxfId="8" priority="10" operator="equal">
      <formula>"N/A"</formula>
    </cfRule>
  </conditionalFormatting>
  <conditionalFormatting sqref="E83:K83">
    <cfRule type="cellIs" dxfId="7" priority="11" operator="equal">
      <formula>"Oui"</formula>
    </cfRule>
    <cfRule type="cellIs" dxfId="6" priority="12" operator="equal">
      <formula>"Non"</formula>
    </cfRule>
    <cfRule type="cellIs" dxfId="5" priority="13" operator="equal">
      <formula>"N/A"</formula>
    </cfRule>
  </conditionalFormatting>
  <conditionalFormatting sqref="E89:K90">
    <cfRule type="cellIs" dxfId="4" priority="14" operator="equal">
      <formula>"Oui"</formula>
    </cfRule>
    <cfRule type="cellIs" dxfId="3" priority="15" operator="equal">
      <formula>"Non"</formula>
    </cfRule>
    <cfRule type="cellIs" dxfId="2" priority="16" operator="equal">
      <formula>"N/A"</formula>
    </cfRule>
  </conditionalFormatting>
  <dataValidations count="8">
    <dataValidation type="list" allowBlank="1" showErrorMessage="1" errorTitle="Saisie Rijal Fit" error="Choisis Fait, Pas fait ou N/A (non applicable)." prompt="Choisis Fait, Pas fait ou N/A (non applicable)." sqref="E28:K67">
      <formula1>"Fait,Pas fait,N/A"</formula1>
      <formula2>0</formula2>
    </dataValidation>
    <dataValidation type="list" allowBlank="1" showErrorMessage="1" errorTitle="Saisie Rijal Fit" error="Choisis Oui, Non ou N/A." prompt="Choisis Oui, Non ou N/A." sqref="E75:K75 E83:K83">
      <formula1>"Oui,Non,N/A"</formula1>
      <formula2>0</formula2>
    </dataValidation>
    <dataValidation type="list" allowBlank="1" showErrorMessage="1" errorTitle="Saisie Rijal Fit" error="Choisis Oui ou Non." prompt="Choisis Oui ou Non." sqref="E89:K90">
      <formula1>"Oui,Non"</formula1>
      <formula2>0</formula2>
    </dataValidation>
    <dataValidation type="decimal" allowBlank="1" showErrorMessage="1" errorTitle="Saisie Rijal Fit" error="Saisis un nombre de litres entre 0 et 10 (ex. 1,5)." prompt="Saisis un nombre de litres entre 0 et 10 (ex. 1,5)." sqref="E72:K72">
      <formula1>0</formula1>
      <formula2>10</formula2>
    </dataValidation>
    <dataValidation type="whole" allowBlank="1" showErrorMessage="1" errorTitle="Saisie Rijal Fit" error="Saisis un nombre entier de repas (ex. 2)." prompt="Saisis un nombre entier de repas (ex. 2)." sqref="E74:K74">
      <formula1>0</formula1>
      <formula2>10</formula2>
    </dataValidation>
    <dataValidation type="decimal" allowBlank="1" showErrorMessage="1" errorTitle="Saisie Rijal Fit" error="Saisis des heures décimales entre 0 et 16 (ex. 7,5)." prompt="Saisis des heures décimales entre 0 et 16 (ex. 7,5)." sqref="E80:K80">
      <formula1>0</formula1>
      <formula2>16</formula2>
    </dataValidation>
    <dataValidation type="time" allowBlank="1" showErrorMessage="1" errorTitle="Saisie Rijal Fit" error="Saisis une heure au format 23:30." prompt="Saisis une heure au format 23:30." sqref="E81:K81">
      <formula1>0</formula1>
      <formula2>0.999988</formula2>
    </dataValidation>
    <dataValidation type="whole" allowBlank="1" showErrorMessage="1" errorTitle="Saisie Rijal Fit" error="Saisis un nombre de minutes entre 0 et 600." prompt="Saisis un nombre de minutes entre 0 et 600." sqref="E88:K88">
      <formula1>0</formula1>
      <formula2>600</formula2>
    </dataValidation>
  </dataValidations>
  <hyperlinks>
    <hyperlink ref="E3" location="'MON SUIVI QUOTIDIEN'!B24" display="Religion"/>
    <hyperlink ref="F3" location="'MON SUIVI QUOTIDIEN'!B70" display="Nutrition"/>
    <hyperlink ref="G3" location="'MON SUIVI QUOTIDIEN'!B78" display="Sommeil"/>
    <hyperlink ref="H3" location="'MON SUIVI QUOTIDIEN'!B86" display="Sport"/>
    <hyperlink ref="I3" location="'MON SUIVI QUOTIDIEN'!B95" display="Notes"/>
    <hyperlink ref="K3" location="'MON BILAN RIJAL FIT'!B1" display="Mon bilan ›"/>
  </hyperlinks>
  <printOptions horizontalCentered="1"/>
  <pageMargins left="0.75" right="0.75" top="1" bottom="1" header="0.511811023622047" footer="0.511811023622047"/>
  <pageSetup paperSize="9" fitToHeight="0" orientation="portrait" horizontalDpi="300" verticalDpi="300"/>
</worksheet>
</file>

<file path=xl/worksheets/sheet3.xml><?xml version="1.0" encoding="utf-8"?>
<worksheet xmlns="http://schemas.openxmlformats.org/spreadsheetml/2006/main" xmlns:r="http://schemas.openxmlformats.org/officeDocument/2006/relationships">
  <sheetPr>
    <pageSetUpPr fitToPage="1"/>
  </sheetPr>
  <dimension ref="B1:L73"/>
  <sheetViews>
    <sheetView showGridLines="0" topLeftCell="A4" zoomScaleNormal="100" workbookViewId="0"/>
  </sheetViews>
  <sheetFormatPr baseColWidth="10" defaultColWidth="8.7109375" defaultRowHeight="15"/>
  <cols>
    <col min="1" max="1" width="2" customWidth="1"/>
    <col min="2" max="2" width="30" customWidth="1"/>
    <col min="3" max="12" width="9.5703125" customWidth="1"/>
  </cols>
  <sheetData>
    <row r="1" spans="2:12" ht="39.75" customHeight="1">
      <c r="B1" s="13" t="s">
        <v>0</v>
      </c>
      <c r="C1" s="13"/>
      <c r="D1" s="13"/>
      <c r="E1" s="13"/>
      <c r="F1" s="13"/>
      <c r="G1" s="13"/>
      <c r="H1" s="13"/>
      <c r="I1" s="13"/>
      <c r="J1" s="13"/>
      <c r="K1" s="13"/>
      <c r="L1" s="13"/>
    </row>
    <row r="2" spans="2:12" ht="21.75" customHeight="1">
      <c r="B2" s="12" t="s">
        <v>1</v>
      </c>
      <c r="C2" s="12"/>
      <c r="D2" s="12"/>
      <c r="E2" s="12"/>
      <c r="F2" s="12"/>
      <c r="G2" s="12"/>
      <c r="H2" s="12"/>
      <c r="I2" s="12"/>
      <c r="J2" s="12"/>
      <c r="K2" s="12"/>
      <c r="L2" s="12"/>
    </row>
    <row r="3" spans="2:12">
      <c r="L3" s="19" t="s">
        <v>108</v>
      </c>
    </row>
    <row r="4" spans="2:12" ht="27.75" customHeight="1">
      <c r="B4" s="64" t="str">
        <f>IF('MON SUIVI QUOTIDIEN'!C6="","Participant : à renseigner",'MON SUIVI QUOTIDIEN'!C6)&amp;IF('MON SUIVI QUOTIDIEN'!K6="",""," · Semaine "&amp;'MON SUIVI QUOTIDIEN'!K6&amp;" du challenge")&amp;IF('MON SUIVI QUOTIDIEN'!E21="",""," · du "&amp;RIGHT("0"&amp;DAY('MON SUIVI QUOTIDIEN'!E21),2)&amp;"/"&amp;RIGHT("0"&amp;MONTH('MON SUIVI QUOTIDIEN'!E21),2)&amp;" au "&amp;RIGHT("0"&amp;DAY('MON SUIVI QUOTIDIEN'!K21),2)&amp;"/"&amp;RIGHT("0"&amp;MONTH('MON SUIVI QUOTIDIEN'!K21),2))</f>
        <v>Participant : à renseigner</v>
      </c>
      <c r="C4" s="64"/>
      <c r="D4" s="64"/>
      <c r="E4" s="64"/>
      <c r="F4" s="64"/>
      <c r="G4" s="64"/>
      <c r="H4" s="64"/>
      <c r="I4" s="64"/>
      <c r="J4" s="64"/>
      <c r="K4" s="64"/>
      <c r="L4" s="64"/>
    </row>
    <row r="6" spans="2:12" ht="25.5" customHeight="1">
      <c r="B6" s="8" t="s">
        <v>109</v>
      </c>
      <c r="C6" s="8"/>
      <c r="D6" s="8"/>
      <c r="E6" s="8"/>
      <c r="F6" s="8"/>
      <c r="G6" s="8"/>
      <c r="H6" s="8"/>
      <c r="I6" s="8"/>
      <c r="J6" s="8"/>
      <c r="K6" s="8"/>
      <c r="L6" s="8"/>
    </row>
    <row r="7" spans="2:12" ht="24" customHeight="1">
      <c r="B7" s="65" t="str">
        <f>IF(CALCULS!$C$35=1,CALCULS!$C$36,"—")</f>
        <v>—</v>
      </c>
      <c r="C7" s="65"/>
      <c r="D7" s="65"/>
      <c r="E7" s="66" t="str">
        <f>IF(CALCULS!$C$35=1,"✔ Bilan complet. Score calculé avec la méthode 5-2-2-1 : Religion × 0,50 + Nutrition × 0,20 + Sommeil × 0,20 + Sport × 0,10.",IF(CALCULS!$C$37=0,"Aucune donnée saisie pour cette semaine. Remplis ton suivi quotidien pour voir ton bilan.","⚠ Bilan incomplet : il faut au moins "&amp;MISSIONS!$E$4&amp;" jours renseignés pour : "&amp;CALCULS!$C$39&amp;". Le score global s'affichera dès que ce sera le cas. Les cases vides ne sont pas comptées comme des échecs."))</f>
        <v>Aucune donnée saisie pour cette semaine. Remplis ton suivi quotidien pour voir ton bilan.</v>
      </c>
      <c r="F7" s="66"/>
      <c r="G7" s="66"/>
      <c r="H7" s="66"/>
      <c r="I7" s="66"/>
      <c r="J7" s="66"/>
      <c r="K7" s="66"/>
      <c r="L7" s="66"/>
    </row>
    <row r="8" spans="2:12" ht="24" customHeight="1">
      <c r="B8" s="65"/>
      <c r="C8" s="65"/>
      <c r="D8" s="65"/>
      <c r="E8" s="66"/>
      <c r="F8" s="66"/>
      <c r="G8" s="66"/>
      <c r="H8" s="66"/>
      <c r="I8" s="66"/>
      <c r="J8" s="66"/>
      <c r="K8" s="66"/>
      <c r="L8" s="66"/>
    </row>
    <row r="9" spans="2:12" ht="24" customHeight="1">
      <c r="B9" s="65"/>
      <c r="C9" s="65"/>
      <c r="D9" s="65"/>
      <c r="E9" s="67" t="s">
        <v>110</v>
      </c>
      <c r="F9" s="67"/>
      <c r="G9" s="67"/>
      <c r="H9" s="67"/>
      <c r="I9" s="67"/>
      <c r="J9" s="67"/>
      <c r="K9" s="67"/>
      <c r="L9" s="67"/>
    </row>
    <row r="10" spans="2:12" ht="24" customHeight="1">
      <c r="B10" s="65"/>
      <c r="C10" s="65"/>
      <c r="D10" s="65"/>
      <c r="E10" s="67"/>
      <c r="F10" s="67"/>
      <c r="G10" s="67"/>
      <c r="H10" s="67"/>
      <c r="I10" s="67"/>
      <c r="J10" s="67"/>
      <c r="K10" s="67"/>
      <c r="L10" s="67"/>
    </row>
    <row r="12" spans="2:12" ht="25.5" customHeight="1">
      <c r="B12" s="8" t="s">
        <v>111</v>
      </c>
      <c r="C12" s="8"/>
      <c r="D12" s="8"/>
      <c r="E12" s="8"/>
      <c r="F12" s="8"/>
      <c r="G12" s="8"/>
      <c r="H12" s="8"/>
      <c r="I12" s="8"/>
      <c r="J12" s="8"/>
      <c r="K12" s="8"/>
      <c r="L12" s="8"/>
    </row>
    <row r="13" spans="2:12" ht="27.75" customHeight="1">
      <c r="B13" s="31" t="s">
        <v>112</v>
      </c>
      <c r="C13" s="68" t="s">
        <v>113</v>
      </c>
      <c r="D13" s="68"/>
      <c r="E13" s="31" t="s">
        <v>114</v>
      </c>
      <c r="F13" s="31" t="s">
        <v>115</v>
      </c>
      <c r="G13" s="68" t="s">
        <v>116</v>
      </c>
      <c r="H13" s="68"/>
      <c r="I13" s="68" t="s">
        <v>117</v>
      </c>
      <c r="J13" s="68"/>
      <c r="K13" s="68"/>
      <c r="L13" s="68"/>
    </row>
    <row r="14" spans="2:12" ht="24" customHeight="1">
      <c r="B14" s="20" t="str">
        <f>CALCULS!B30</f>
        <v>Religion</v>
      </c>
      <c r="C14" s="69" t="str">
        <f>IF(CALCULS!C30="","—",CALCULS!C30)</f>
        <v>—</v>
      </c>
      <c r="D14" s="69"/>
      <c r="E14" s="42">
        <f>CALCULS!F30</f>
        <v>0.5</v>
      </c>
      <c r="F14" s="43" t="str">
        <f>IF(CALCULS!E30&lt;&gt;"Complet","—",ROUND(CALCULS!C30*CALCULS!F30*100,1))</f>
        <v>—</v>
      </c>
      <c r="G14" s="70" t="str">
        <f>CALCULS!D30&amp;" / 7"</f>
        <v>0 / 7</v>
      </c>
      <c r="H14" s="70"/>
      <c r="I14" s="5" t="str">
        <f>CALCULS!E30</f>
        <v>Aucune donnée</v>
      </c>
      <c r="J14" s="5"/>
      <c r="K14" s="5"/>
      <c r="L14" s="5"/>
    </row>
    <row r="15" spans="2:12" ht="24" customHeight="1">
      <c r="B15" s="20" t="str">
        <f>CALCULS!B31</f>
        <v>Nutrition</v>
      </c>
      <c r="C15" s="69" t="str">
        <f>IF(CALCULS!C31="","—",CALCULS!C31)</f>
        <v>—</v>
      </c>
      <c r="D15" s="69"/>
      <c r="E15" s="42">
        <f>CALCULS!F31</f>
        <v>0.2</v>
      </c>
      <c r="F15" s="43" t="str">
        <f>IF(CALCULS!E31&lt;&gt;"Complet","—",ROUND(CALCULS!C31*CALCULS!F31*100,1))</f>
        <v>—</v>
      </c>
      <c r="G15" s="70" t="str">
        <f>CALCULS!D31&amp;" / 7"</f>
        <v>0 / 7</v>
      </c>
      <c r="H15" s="70"/>
      <c r="I15" s="5" t="str">
        <f>CALCULS!E31</f>
        <v>Aucune donnée</v>
      </c>
      <c r="J15" s="5"/>
      <c r="K15" s="5"/>
      <c r="L15" s="5"/>
    </row>
    <row r="16" spans="2:12" ht="24" customHeight="1">
      <c r="B16" s="20" t="str">
        <f>CALCULS!B32</f>
        <v>Sommeil</v>
      </c>
      <c r="C16" s="69" t="str">
        <f>IF(CALCULS!C32="","—",CALCULS!C32)</f>
        <v>—</v>
      </c>
      <c r="D16" s="69"/>
      <c r="E16" s="42">
        <f>CALCULS!F32</f>
        <v>0.2</v>
      </c>
      <c r="F16" s="43" t="str">
        <f>IF(CALCULS!E32&lt;&gt;"Complet","—",ROUND(CALCULS!C32*CALCULS!F32*100,1))</f>
        <v>—</v>
      </c>
      <c r="G16" s="70" t="str">
        <f>CALCULS!D32&amp;" / 7"</f>
        <v>0 / 7</v>
      </c>
      <c r="H16" s="70"/>
      <c r="I16" s="5" t="str">
        <f>CALCULS!E32</f>
        <v>Aucune donnée</v>
      </c>
      <c r="J16" s="5"/>
      <c r="K16" s="5"/>
      <c r="L16" s="5"/>
    </row>
    <row r="17" spans="2:12" ht="24" customHeight="1">
      <c r="B17" s="20" t="str">
        <f>CALCULS!B33</f>
        <v>Sport</v>
      </c>
      <c r="C17" s="69" t="str">
        <f>IF(CALCULS!C33="","—",CALCULS!C33)</f>
        <v>—</v>
      </c>
      <c r="D17" s="69"/>
      <c r="E17" s="42">
        <f>CALCULS!F33</f>
        <v>0.1</v>
      </c>
      <c r="F17" s="43" t="str">
        <f>IF(CALCULS!E33&lt;&gt;"Complet","—",ROUND(CALCULS!C33*CALCULS!F33*100,1))</f>
        <v>—</v>
      </c>
      <c r="G17" s="70" t="str">
        <f>CALCULS!D33&amp;" / 7"</f>
        <v>0 / 7</v>
      </c>
      <c r="H17" s="70"/>
      <c r="I17" s="5" t="str">
        <f>CALCULS!E33</f>
        <v>Aucune donnée</v>
      </c>
      <c r="J17" s="5"/>
      <c r="K17" s="5"/>
      <c r="L17" s="5"/>
    </row>
    <row r="18" spans="2:12" ht="30" customHeight="1">
      <c r="B18" s="9" t="s">
        <v>118</v>
      </c>
      <c r="C18" s="9"/>
      <c r="D18" s="9"/>
      <c r="E18" s="9"/>
      <c r="F18" s="9"/>
      <c r="G18" s="9"/>
      <c r="H18" s="9"/>
      <c r="I18" s="9"/>
      <c r="J18" s="9"/>
      <c r="K18" s="9"/>
      <c r="L18" s="9"/>
    </row>
    <row r="20" spans="2:12" ht="25.5" customHeight="1">
      <c r="B20" s="8" t="s">
        <v>119</v>
      </c>
      <c r="C20" s="8"/>
      <c r="D20" s="8"/>
      <c r="E20" s="8"/>
      <c r="F20" s="8"/>
      <c r="G20" s="8"/>
      <c r="H20" s="8"/>
      <c r="I20" s="8"/>
      <c r="J20" s="8"/>
      <c r="K20" s="8"/>
      <c r="L20" s="8"/>
    </row>
    <row r="43" spans="2:12" ht="25.5" customHeight="1">
      <c r="B43" s="8" t="s">
        <v>120</v>
      </c>
      <c r="C43" s="8"/>
      <c r="D43" s="8"/>
      <c r="E43" s="8"/>
      <c r="F43" s="8"/>
      <c r="G43" s="8"/>
      <c r="H43" s="8"/>
      <c r="I43" s="8"/>
      <c r="J43" s="8"/>
      <c r="K43" s="8"/>
      <c r="L43" s="8"/>
    </row>
    <row r="44" spans="2:12" ht="21.75" customHeight="1">
      <c r="B44" s="71" t="s">
        <v>121</v>
      </c>
      <c r="C44" s="71"/>
      <c r="D44" s="71"/>
      <c r="E44" s="71"/>
      <c r="F44" s="71"/>
      <c r="G44" s="71"/>
      <c r="H44" s="71"/>
      <c r="I44" s="71"/>
      <c r="J44" s="71"/>
      <c r="K44" s="71"/>
      <c r="L44" s="71"/>
    </row>
    <row r="45" spans="2:12" ht="61.5" customHeight="1">
      <c r="B45" s="72" t="str">
        <f>CALCULS!$C$47</f>
        <v>Remplis ton suivi quotidien : ton analyse personnalisée apparaîtra ici automatiquement.</v>
      </c>
      <c r="C45" s="72"/>
      <c r="D45" s="72"/>
      <c r="E45" s="72"/>
      <c r="F45" s="72"/>
      <c r="G45" s="72"/>
      <c r="H45" s="72"/>
      <c r="I45" s="72"/>
      <c r="J45" s="72"/>
      <c r="K45" s="72"/>
      <c r="L45" s="72"/>
    </row>
    <row r="47" spans="2:12" ht="21.75" customHeight="1">
      <c r="B47" s="71" t="s">
        <v>122</v>
      </c>
      <c r="C47" s="71"/>
      <c r="D47" s="71"/>
      <c r="E47" s="71"/>
      <c r="F47" s="71"/>
      <c r="G47" s="71"/>
      <c r="H47" s="71"/>
      <c r="I47" s="71"/>
      <c r="J47" s="71"/>
      <c r="K47" s="71"/>
      <c r="L47" s="71"/>
    </row>
    <row r="48" spans="2:12" ht="61.5" customHeight="1">
      <c r="B48" s="72" t="str">
        <f>CALCULS!$C$48</f>
        <v>Aucune donnée pour l'instant.</v>
      </c>
      <c r="C48" s="72"/>
      <c r="D48" s="72"/>
      <c r="E48" s="72"/>
      <c r="F48" s="72"/>
      <c r="G48" s="72"/>
      <c r="H48" s="72"/>
      <c r="I48" s="72"/>
      <c r="J48" s="72"/>
      <c r="K48" s="72"/>
      <c r="L48" s="72"/>
    </row>
    <row r="50" spans="2:12" ht="21.75" customHeight="1">
      <c r="B50" s="71" t="s">
        <v>123</v>
      </c>
      <c r="C50" s="71"/>
      <c r="D50" s="71"/>
      <c r="E50" s="71"/>
      <c r="F50" s="71"/>
      <c r="G50" s="71"/>
      <c r="H50" s="71"/>
      <c r="I50" s="71"/>
      <c r="J50" s="71"/>
      <c r="K50" s="71"/>
      <c r="L50" s="71"/>
    </row>
    <row r="51" spans="2:12" ht="61.5" customHeight="1">
      <c r="B51" s="72" t="str">
        <f>CALCULS!$C$49</f>
        <v>Commence par 2 ou 3 jours de suivi : ta mission apparaîtra ici.</v>
      </c>
      <c r="C51" s="72"/>
      <c r="D51" s="72"/>
      <c r="E51" s="72"/>
      <c r="F51" s="72"/>
      <c r="G51" s="72"/>
      <c r="H51" s="72"/>
      <c r="I51" s="72"/>
      <c r="J51" s="72"/>
      <c r="K51" s="72"/>
      <c r="L51" s="72"/>
    </row>
    <row r="53" spans="2:12" ht="25.5" customHeight="1">
      <c r="B53" s="8" t="s">
        <v>124</v>
      </c>
      <c r="C53" s="8"/>
      <c r="D53" s="8"/>
      <c r="E53" s="8"/>
      <c r="F53" s="8"/>
      <c r="G53" s="8"/>
      <c r="H53" s="8"/>
      <c r="I53" s="8"/>
      <c r="J53" s="8"/>
      <c r="K53" s="8"/>
      <c r="L53" s="8"/>
    </row>
    <row r="54" spans="2:12" ht="15" customHeight="1">
      <c r="B54" s="31" t="s">
        <v>84</v>
      </c>
      <c r="C54" s="68" t="s">
        <v>125</v>
      </c>
      <c r="D54" s="68"/>
      <c r="E54" s="68" t="s">
        <v>126</v>
      </c>
      <c r="F54" s="68"/>
      <c r="G54" s="68"/>
      <c r="H54" s="68"/>
      <c r="I54" s="68"/>
      <c r="J54" s="68"/>
      <c r="K54" s="68"/>
      <c r="L54" s="68"/>
    </row>
    <row r="55" spans="2:12" ht="19.5" customHeight="1">
      <c r="B55" s="45" t="s">
        <v>127</v>
      </c>
      <c r="C55" s="69" t="str">
        <f>IF(CALCULS!L28="","—",CALCULS!L28)</f>
        <v>—</v>
      </c>
      <c r="D55" s="69"/>
      <c r="E55" s="9" t="s">
        <v>128</v>
      </c>
      <c r="F55" s="9"/>
      <c r="G55" s="9"/>
      <c r="H55" s="9"/>
      <c r="I55" s="9"/>
      <c r="J55" s="9"/>
      <c r="K55" s="9"/>
      <c r="L55" s="9"/>
    </row>
    <row r="56" spans="2:12" ht="19.5" customHeight="1">
      <c r="B56" s="45" t="s">
        <v>129</v>
      </c>
      <c r="C56" s="69" t="str">
        <f>IF(CALCULS!L27="","—",CALCULS!L27)</f>
        <v>—</v>
      </c>
      <c r="D56" s="69"/>
      <c r="E56" s="9" t="s">
        <v>130</v>
      </c>
      <c r="F56" s="9"/>
      <c r="G56" s="9"/>
      <c r="H56" s="9"/>
      <c r="I56" s="9"/>
      <c r="J56" s="9"/>
      <c r="K56" s="9"/>
      <c r="L56" s="9"/>
    </row>
    <row r="57" spans="2:12" ht="19.5" customHeight="1">
      <c r="B57" s="45" t="s">
        <v>131</v>
      </c>
      <c r="C57" s="69" t="str">
        <f>IF(CALCULS!L9="","—",CALCULS!L9)</f>
        <v>—</v>
      </c>
      <c r="D57" s="69"/>
      <c r="E57" s="9" t="s">
        <v>132</v>
      </c>
      <c r="F57" s="9"/>
      <c r="G57" s="9"/>
      <c r="H57" s="9"/>
      <c r="I57" s="9"/>
      <c r="J57" s="9"/>
      <c r="K57" s="9"/>
      <c r="L57" s="9"/>
    </row>
    <row r="58" spans="2:12" ht="19.5" customHeight="1">
      <c r="B58" s="45" t="s">
        <v>133</v>
      </c>
      <c r="C58" s="69" t="str">
        <f>IF(CALCULS!L10="","—",CALCULS!L10)</f>
        <v>—</v>
      </c>
      <c r="D58" s="69"/>
      <c r="E58" s="9" t="s">
        <v>134</v>
      </c>
      <c r="F58" s="9"/>
      <c r="G58" s="9"/>
      <c r="H58" s="9"/>
      <c r="I58" s="9"/>
      <c r="J58" s="9"/>
      <c r="K58" s="9"/>
      <c r="L58" s="9"/>
    </row>
    <row r="59" spans="2:12" ht="19.5" customHeight="1">
      <c r="B59" s="45" t="s">
        <v>90</v>
      </c>
      <c r="C59" s="69" t="str">
        <f>IF(CALCULS!L11="","—",CALCULS!L11)</f>
        <v>—</v>
      </c>
      <c r="D59" s="69"/>
      <c r="E59" s="9" t="s">
        <v>135</v>
      </c>
      <c r="F59" s="9"/>
      <c r="G59" s="9"/>
      <c r="H59" s="9"/>
      <c r="I59" s="9"/>
      <c r="J59" s="9"/>
      <c r="K59" s="9"/>
      <c r="L59" s="9"/>
    </row>
    <row r="60" spans="2:12" ht="19.5" customHeight="1">
      <c r="B60" s="45" t="s">
        <v>136</v>
      </c>
      <c r="C60" s="69" t="str">
        <f>IF(CALCULS!L15="","—",CALCULS!L15)</f>
        <v>—</v>
      </c>
      <c r="D60" s="69"/>
      <c r="E60" s="9" t="s">
        <v>137</v>
      </c>
      <c r="F60" s="9"/>
      <c r="G60" s="9"/>
      <c r="H60" s="9"/>
      <c r="I60" s="9"/>
      <c r="J60" s="9"/>
      <c r="K60" s="9"/>
      <c r="L60" s="9"/>
    </row>
    <row r="61" spans="2:12" ht="19.5" customHeight="1">
      <c r="B61" s="45" t="s">
        <v>138</v>
      </c>
      <c r="C61" s="69" t="str">
        <f>IF(CALCULS!L16="","—",CALCULS!L16)</f>
        <v>—</v>
      </c>
      <c r="D61" s="69"/>
      <c r="E61" s="9" t="s">
        <v>139</v>
      </c>
      <c r="F61" s="9"/>
      <c r="G61" s="9"/>
      <c r="H61" s="9"/>
      <c r="I61" s="9"/>
      <c r="J61" s="9"/>
      <c r="K61" s="9"/>
      <c r="L61" s="9"/>
    </row>
    <row r="62" spans="2:12" ht="19.5" customHeight="1">
      <c r="B62" s="45" t="s">
        <v>140</v>
      </c>
      <c r="C62" s="69" t="str">
        <f>IF(CALCULS!L17="","—",CALCULS!L17)</f>
        <v>—</v>
      </c>
      <c r="D62" s="69"/>
      <c r="E62" s="9" t="s">
        <v>135</v>
      </c>
      <c r="F62" s="9"/>
      <c r="G62" s="9"/>
      <c r="H62" s="9"/>
      <c r="I62" s="9"/>
      <c r="J62" s="9"/>
      <c r="K62" s="9"/>
      <c r="L62" s="9"/>
    </row>
    <row r="63" spans="2:12" ht="19.5" customHeight="1">
      <c r="B63" s="45" t="s">
        <v>141</v>
      </c>
      <c r="C63" s="69" t="str">
        <f>IF(CALCULS!L21="","—",CALCULS!L21)</f>
        <v>—</v>
      </c>
      <c r="D63" s="69"/>
      <c r="E63" s="9" t="s">
        <v>142</v>
      </c>
      <c r="F63" s="9"/>
      <c r="G63" s="9"/>
      <c r="H63" s="9"/>
      <c r="I63" s="9"/>
      <c r="J63" s="9"/>
      <c r="K63" s="9"/>
      <c r="L63" s="9"/>
    </row>
    <row r="64" spans="2:12" ht="19.5" customHeight="1">
      <c r="B64" s="45" t="s">
        <v>143</v>
      </c>
      <c r="C64" s="69" t="str">
        <f>IF(CALCULS!L22="","—",CALCULS!L22)</f>
        <v>—</v>
      </c>
      <c r="D64" s="69"/>
      <c r="E64" s="9" t="s">
        <v>144</v>
      </c>
      <c r="F64" s="9"/>
      <c r="G64" s="9"/>
      <c r="H64" s="9"/>
      <c r="I64" s="9"/>
      <c r="J64" s="9"/>
      <c r="K64" s="9"/>
      <c r="L64" s="9"/>
    </row>
    <row r="65" spans="2:12" ht="19.5" customHeight="1">
      <c r="B65" s="45" t="s">
        <v>145</v>
      </c>
      <c r="C65" s="69" t="str">
        <f>IF(CALCULS!L23="","—",CALCULS!L23)</f>
        <v>—</v>
      </c>
      <c r="D65" s="69"/>
      <c r="E65" s="9" t="s">
        <v>146</v>
      </c>
      <c r="F65" s="9"/>
      <c r="G65" s="9"/>
      <c r="H65" s="9"/>
      <c r="I65" s="9"/>
      <c r="J65" s="9"/>
      <c r="K65" s="9"/>
      <c r="L65" s="9"/>
    </row>
    <row r="67" spans="2:12" ht="25.5" customHeight="1">
      <c r="B67" s="8" t="s">
        <v>147</v>
      </c>
      <c r="C67" s="8"/>
      <c r="D67" s="8"/>
      <c r="E67" s="8"/>
      <c r="F67" s="8"/>
      <c r="G67" s="8"/>
      <c r="H67" s="8"/>
      <c r="I67" s="8"/>
      <c r="J67" s="8"/>
      <c r="K67" s="8"/>
      <c r="L67" s="8"/>
    </row>
    <row r="68" spans="2:12" ht="24">
      <c r="B68" s="31" t="s">
        <v>148</v>
      </c>
      <c r="C68" s="31" t="s">
        <v>42</v>
      </c>
      <c r="D68" s="31" t="s">
        <v>43</v>
      </c>
      <c r="E68" s="31" t="s">
        <v>44</v>
      </c>
      <c r="F68" s="31" t="s">
        <v>45</v>
      </c>
      <c r="G68" s="31" t="s">
        <v>149</v>
      </c>
    </row>
    <row r="69" spans="2:12">
      <c r="B69" s="22" t="str">
        <f>'MON SUIVI QUOTIDIEN'!K6</f>
        <v/>
      </c>
      <c r="C69" s="36" t="str">
        <f>IF(CALCULS!C30="","",CALCULS!C30)</f>
        <v/>
      </c>
      <c r="D69" s="36" t="str">
        <f>IF(CALCULS!C31="","",CALCULS!C31)</f>
        <v/>
      </c>
      <c r="E69" s="36" t="str">
        <f>IF(CALCULS!C32="","",CALCULS!C32)</f>
        <v/>
      </c>
      <c r="F69" s="36" t="str">
        <f>IF(CALCULS!C33="","",CALCULS!C33)</f>
        <v/>
      </c>
      <c r="G69" s="40" t="str">
        <f>IF(CALCULS!$C$35=1,CALCULS!$C$36,"")</f>
        <v/>
      </c>
    </row>
    <row r="70" spans="2:12" ht="30" customHeight="1">
      <c r="B70" s="9" t="s">
        <v>150</v>
      </c>
      <c r="C70" s="9"/>
      <c r="D70" s="9"/>
      <c r="E70" s="9"/>
      <c r="F70" s="9"/>
      <c r="G70" s="9"/>
      <c r="H70" s="9"/>
      <c r="I70" s="9"/>
      <c r="J70" s="9"/>
      <c r="K70" s="9"/>
      <c r="L70" s="9"/>
    </row>
    <row r="72" spans="2:12" ht="25.5" customHeight="1">
      <c r="B72" s="8" t="s">
        <v>151</v>
      </c>
      <c r="C72" s="8"/>
      <c r="D72" s="8"/>
      <c r="E72" s="8"/>
      <c r="F72" s="8"/>
      <c r="G72" s="8"/>
      <c r="H72" s="8"/>
      <c r="I72" s="8"/>
      <c r="J72" s="8"/>
      <c r="K72" s="8"/>
      <c r="L72" s="8"/>
    </row>
    <row r="73" spans="2:12" ht="63.75" customHeight="1">
      <c r="B73" s="73" t="s">
        <v>152</v>
      </c>
      <c r="C73" s="73"/>
      <c r="D73" s="73"/>
      <c r="E73" s="73"/>
      <c r="F73" s="73"/>
      <c r="G73" s="73"/>
      <c r="H73" s="73"/>
      <c r="I73" s="73"/>
      <c r="J73" s="73"/>
      <c r="K73" s="73"/>
      <c r="L73" s="73"/>
    </row>
  </sheetData>
  <sheetProtection sheet="1" formatColumns="0" formatRows="0"/>
  <mergeCells count="61">
    <mergeCell ref="B70:L70"/>
    <mergeCell ref="B72:L72"/>
    <mergeCell ref="B73:L73"/>
    <mergeCell ref="C64:D64"/>
    <mergeCell ref="E64:L64"/>
    <mergeCell ref="C65:D65"/>
    <mergeCell ref="E65:L65"/>
    <mergeCell ref="B67:L67"/>
    <mergeCell ref="C61:D61"/>
    <mergeCell ref="E61:L61"/>
    <mergeCell ref="C62:D62"/>
    <mergeCell ref="E62:L62"/>
    <mergeCell ref="C63:D63"/>
    <mergeCell ref="E63:L63"/>
    <mergeCell ref="C58:D58"/>
    <mergeCell ref="E58:L58"/>
    <mergeCell ref="C59:D59"/>
    <mergeCell ref="E59:L59"/>
    <mergeCell ref="C60:D60"/>
    <mergeCell ref="E60:L60"/>
    <mergeCell ref="C55:D55"/>
    <mergeCell ref="E55:L55"/>
    <mergeCell ref="C56:D56"/>
    <mergeCell ref="E56:L56"/>
    <mergeCell ref="C57:D57"/>
    <mergeCell ref="E57:L57"/>
    <mergeCell ref="B50:L50"/>
    <mergeCell ref="B51:L51"/>
    <mergeCell ref="B53:L53"/>
    <mergeCell ref="C54:D54"/>
    <mergeCell ref="E54:L54"/>
    <mergeCell ref="B43:L43"/>
    <mergeCell ref="B44:L44"/>
    <mergeCell ref="B45:L45"/>
    <mergeCell ref="B47:L47"/>
    <mergeCell ref="B48:L48"/>
    <mergeCell ref="C17:D17"/>
    <mergeCell ref="G17:H17"/>
    <mergeCell ref="I17:L17"/>
    <mergeCell ref="B18:L18"/>
    <mergeCell ref="B20:L20"/>
    <mergeCell ref="C15:D15"/>
    <mergeCell ref="G15:H15"/>
    <mergeCell ref="I15:L15"/>
    <mergeCell ref="C16:D16"/>
    <mergeCell ref="G16:H16"/>
    <mergeCell ref="I16:L16"/>
    <mergeCell ref="B12:L12"/>
    <mergeCell ref="C13:D13"/>
    <mergeCell ref="G13:H13"/>
    <mergeCell ref="I13:L13"/>
    <mergeCell ref="C14:D14"/>
    <mergeCell ref="G14:H14"/>
    <mergeCell ref="I14:L14"/>
    <mergeCell ref="B1:L1"/>
    <mergeCell ref="B2:L2"/>
    <mergeCell ref="B4:L4"/>
    <mergeCell ref="B6:L6"/>
    <mergeCell ref="B7:D10"/>
    <mergeCell ref="E7:L8"/>
    <mergeCell ref="E9:L10"/>
  </mergeCells>
  <conditionalFormatting sqref="I14:L17">
    <cfRule type="cellIs" dxfId="1" priority="2" operator="equal">
      <formula>"Incomplet"</formula>
    </cfRule>
    <cfRule type="cellIs" dxfId="0" priority="3" operator="equal">
      <formula>"Aucune donnée"</formula>
    </cfRule>
  </conditionalFormatting>
  <hyperlinks>
    <hyperlink ref="L3" location="'MON SUIVI QUOTIDIEN'!B1" display="‹ Mon suivi"/>
  </hyperlinks>
  <printOptions horizontalCentered="1"/>
  <pageMargins left="0.75" right="0.75" top="1" bottom="1" header="0.511811023622047" footer="0.511811023622047"/>
  <pageSetup paperSize="9" fitToHeight="0" orientation="portrait" horizontalDpi="300" verticalDpi="300"/>
  <drawing r:id="rId1"/>
</worksheet>
</file>

<file path=xl/worksheets/sheet4.xml><?xml version="1.0" encoding="utf-8"?>
<worksheet xmlns="http://schemas.openxmlformats.org/spreadsheetml/2006/main" xmlns:r="http://schemas.openxmlformats.org/officeDocument/2006/relationships">
  <sheetPr>
    <pageSetUpPr fitToPage="1"/>
  </sheetPr>
  <dimension ref="B1:I29"/>
  <sheetViews>
    <sheetView showGridLines="0" zoomScaleNormal="100" workbookViewId="0"/>
  </sheetViews>
  <sheetFormatPr baseColWidth="10" defaultColWidth="8.7109375" defaultRowHeight="15"/>
  <cols>
    <col min="1" max="1" width="2" customWidth="1"/>
    <col min="2" max="2" width="14" customWidth="1"/>
    <col min="3" max="7" width="12" customWidth="1"/>
    <col min="8" max="8" width="40" customWidth="1"/>
    <col min="9" max="9" width="2" customWidth="1"/>
  </cols>
  <sheetData>
    <row r="1" spans="2:9" ht="39.75" customHeight="1">
      <c r="B1" s="13" t="s">
        <v>0</v>
      </c>
      <c r="C1" s="13"/>
      <c r="D1" s="13"/>
      <c r="E1" s="13"/>
      <c r="F1" s="13"/>
      <c r="G1" s="13"/>
      <c r="H1" s="13"/>
      <c r="I1" s="13"/>
    </row>
    <row r="2" spans="2:9" ht="21.75" customHeight="1">
      <c r="B2" s="12" t="s">
        <v>1</v>
      </c>
      <c r="C2" s="12"/>
      <c r="D2" s="12"/>
      <c r="E2" s="12"/>
      <c r="F2" s="12"/>
      <c r="G2" s="12"/>
      <c r="H2" s="12"/>
      <c r="I2" s="12"/>
    </row>
    <row r="3" spans="2:9" ht="25.5" customHeight="1">
      <c r="B3" s="8" t="s">
        <v>153</v>
      </c>
      <c r="C3" s="8"/>
      <c r="D3" s="8"/>
      <c r="E3" s="8"/>
      <c r="F3" s="8"/>
      <c r="G3" s="8"/>
      <c r="H3" s="8"/>
      <c r="I3" s="8"/>
    </row>
    <row r="4" spans="2:9" ht="30" customHeight="1">
      <c r="B4" s="9" t="s">
        <v>154</v>
      </c>
      <c r="C4" s="9"/>
      <c r="D4" s="9"/>
      <c r="E4" s="9"/>
      <c r="F4" s="9"/>
      <c r="G4" s="9"/>
      <c r="H4" s="9"/>
      <c r="I4" s="9"/>
    </row>
    <row r="5" spans="2:9">
      <c r="B5" s="31" t="s">
        <v>148</v>
      </c>
      <c r="C5" s="31" t="s">
        <v>42</v>
      </c>
      <c r="D5" s="31" t="s">
        <v>43</v>
      </c>
      <c r="E5" s="31" t="s">
        <v>44</v>
      </c>
      <c r="F5" s="31" t="s">
        <v>45</v>
      </c>
      <c r="G5" s="31" t="s">
        <v>149</v>
      </c>
      <c r="H5" s="31" t="s">
        <v>155</v>
      </c>
    </row>
    <row r="6" spans="2:9">
      <c r="B6" s="22" t="s">
        <v>156</v>
      </c>
      <c r="C6" s="46"/>
      <c r="D6" s="46"/>
      <c r="E6" s="46"/>
      <c r="F6" s="46"/>
      <c r="G6" s="23"/>
      <c r="H6" s="47"/>
    </row>
    <row r="7" spans="2:9">
      <c r="B7" s="22" t="s">
        <v>157</v>
      </c>
      <c r="C7" s="46"/>
      <c r="D7" s="46"/>
      <c r="E7" s="46"/>
      <c r="F7" s="46"/>
      <c r="G7" s="23"/>
      <c r="H7" s="47"/>
    </row>
    <row r="8" spans="2:9">
      <c r="B8" s="22" t="s">
        <v>158</v>
      </c>
      <c r="C8" s="46"/>
      <c r="D8" s="46"/>
      <c r="E8" s="46"/>
      <c r="F8" s="46"/>
      <c r="G8" s="23"/>
      <c r="H8" s="47"/>
    </row>
    <row r="9" spans="2:9">
      <c r="B9" s="22" t="s">
        <v>159</v>
      </c>
      <c r="C9" s="46"/>
      <c r="D9" s="46"/>
      <c r="E9" s="46"/>
      <c r="F9" s="46"/>
      <c r="G9" s="23"/>
      <c r="H9" s="47"/>
    </row>
    <row r="10" spans="2:9">
      <c r="B10" s="22" t="s">
        <v>160</v>
      </c>
      <c r="C10" s="46"/>
      <c r="D10" s="46"/>
      <c r="E10" s="46"/>
      <c r="F10" s="46"/>
      <c r="G10" s="23"/>
      <c r="H10" s="47"/>
    </row>
    <row r="11" spans="2:9">
      <c r="B11" s="22" t="s">
        <v>161</v>
      </c>
      <c r="C11" s="46"/>
      <c r="D11" s="46"/>
      <c r="E11" s="46"/>
      <c r="F11" s="46"/>
      <c r="G11" s="23"/>
      <c r="H11" s="47"/>
    </row>
    <row r="12" spans="2:9">
      <c r="B12" s="22" t="s">
        <v>162</v>
      </c>
      <c r="C12" s="46"/>
      <c r="D12" s="46"/>
      <c r="E12" s="46"/>
      <c r="F12" s="46"/>
      <c r="G12" s="23"/>
      <c r="H12" s="47"/>
    </row>
    <row r="13" spans="2:9">
      <c r="B13" s="22" t="s">
        <v>163</v>
      </c>
      <c r="C13" s="46"/>
      <c r="D13" s="46"/>
      <c r="E13" s="46"/>
      <c r="F13" s="46"/>
      <c r="G13" s="23"/>
      <c r="H13" s="47"/>
    </row>
    <row r="14" spans="2:9">
      <c r="B14" s="22" t="s">
        <v>164</v>
      </c>
      <c r="C14" s="46"/>
      <c r="D14" s="46"/>
      <c r="E14" s="46"/>
      <c r="F14" s="46"/>
      <c r="G14" s="23"/>
      <c r="H14" s="47"/>
    </row>
    <row r="15" spans="2:9" ht="25.5">
      <c r="B15" s="22" t="s">
        <v>165</v>
      </c>
      <c r="C15" s="46"/>
      <c r="D15" s="46"/>
      <c r="E15" s="46"/>
      <c r="F15" s="46"/>
      <c r="G15" s="23"/>
      <c r="H15" s="47"/>
    </row>
    <row r="16" spans="2:9" ht="25.5">
      <c r="B16" s="22" t="s">
        <v>166</v>
      </c>
      <c r="C16" s="46"/>
      <c r="D16" s="46"/>
      <c r="E16" s="46"/>
      <c r="F16" s="46"/>
      <c r="G16" s="23"/>
      <c r="H16" s="47"/>
    </row>
    <row r="17" spans="2:8" ht="25.5">
      <c r="B17" s="22" t="s">
        <v>167</v>
      </c>
      <c r="C17" s="46"/>
      <c r="D17" s="46"/>
      <c r="E17" s="46"/>
      <c r="F17" s="46"/>
      <c r="G17" s="23"/>
      <c r="H17" s="47"/>
    </row>
    <row r="18" spans="2:8" ht="25.5">
      <c r="B18" s="22" t="s">
        <v>168</v>
      </c>
      <c r="C18" s="46"/>
      <c r="D18" s="46"/>
      <c r="E18" s="46"/>
      <c r="F18" s="46"/>
      <c r="G18" s="23"/>
      <c r="H18" s="47"/>
    </row>
    <row r="19" spans="2:8" ht="25.5">
      <c r="B19" s="22" t="s">
        <v>169</v>
      </c>
      <c r="C19" s="46"/>
      <c r="D19" s="46"/>
      <c r="E19" s="46"/>
      <c r="F19" s="46"/>
      <c r="G19" s="23"/>
      <c r="H19" s="47"/>
    </row>
    <row r="20" spans="2:8" ht="25.5">
      <c r="B20" s="22" t="s">
        <v>170</v>
      </c>
      <c r="C20" s="46"/>
      <c r="D20" s="46"/>
      <c r="E20" s="46"/>
      <c r="F20" s="46"/>
      <c r="G20" s="23"/>
      <c r="H20" s="47"/>
    </row>
    <row r="21" spans="2:8" ht="25.5">
      <c r="B21" s="22" t="s">
        <v>171</v>
      </c>
      <c r="C21" s="46"/>
      <c r="D21" s="46"/>
      <c r="E21" s="46"/>
      <c r="F21" s="46"/>
      <c r="G21" s="23"/>
      <c r="H21" s="47"/>
    </row>
    <row r="22" spans="2:8" ht="25.5">
      <c r="B22" s="22" t="s">
        <v>172</v>
      </c>
      <c r="C22" s="46"/>
      <c r="D22" s="46"/>
      <c r="E22" s="46"/>
      <c r="F22" s="46"/>
      <c r="G22" s="23"/>
      <c r="H22" s="47"/>
    </row>
    <row r="23" spans="2:8" ht="25.5">
      <c r="B23" s="22" t="s">
        <v>173</v>
      </c>
      <c r="C23" s="46"/>
      <c r="D23" s="46"/>
      <c r="E23" s="46"/>
      <c r="F23" s="46"/>
      <c r="G23" s="23"/>
      <c r="H23" s="47"/>
    </row>
    <row r="24" spans="2:8" ht="25.5">
      <c r="B24" s="22" t="s">
        <v>174</v>
      </c>
      <c r="C24" s="46"/>
      <c r="D24" s="46"/>
      <c r="E24" s="46"/>
      <c r="F24" s="46"/>
      <c r="G24" s="23"/>
      <c r="H24" s="47"/>
    </row>
    <row r="25" spans="2:8" ht="25.5">
      <c r="B25" s="22" t="s">
        <v>175</v>
      </c>
      <c r="C25" s="46"/>
      <c r="D25" s="46"/>
      <c r="E25" s="46"/>
      <c r="F25" s="46"/>
      <c r="G25" s="23"/>
      <c r="H25" s="47"/>
    </row>
    <row r="26" ht="25.5">
      <c r="B26" s="22" t="inlineStr">
        <is>
          <t xml:space="preserve">Semaine 21</t>
        </is>
      </c>
      <c r="C26" s="46"/>
      <c r="D26" s="46"/>
      <c r="E26" s="46"/>
      <c r="F26" s="46"/>
      <c r="G26" s="23"/>
      <c r="H26" s="47"/>
    </row>
    <row r="27" ht="25.5">
      <c r="B27" s="22" t="inlineStr">
        <is>
          <t xml:space="preserve">Semaine 22</t>
        </is>
      </c>
      <c r="C27" s="46"/>
      <c r="D27" s="46"/>
      <c r="E27" s="46"/>
      <c r="F27" s="46"/>
      <c r="G27" s="23"/>
      <c r="H27" s="47"/>
    </row>
    <row r="28" ht="25.5">
      <c r="B28" s="22" t="inlineStr">
        <is>
          <t xml:space="preserve">Semaine 23</t>
        </is>
      </c>
      <c r="C28" s="46"/>
      <c r="D28" s="46"/>
      <c r="E28" s="46"/>
      <c r="F28" s="46"/>
      <c r="G28" s="23"/>
      <c r="H28" s="47"/>
    </row>
    <row r="29" ht="25.5">
      <c r="B29" s="22" t="inlineStr">
        <is>
          <t xml:space="preserve">Semaine 24</t>
        </is>
      </c>
      <c r="C29" s="46"/>
      <c r="D29" s="46"/>
      <c r="E29" s="46"/>
      <c r="F29" s="46"/>
      <c r="G29" s="23"/>
      <c r="H29" s="47"/>
    </row>
  </sheetData>
  <sheetProtection sheet="1" formatColumns="0" formatRows="0"/>
  <mergeCells count="4">
    <mergeCell ref="B1:I1"/>
    <mergeCell ref="B2:I2"/>
    <mergeCell ref="B3:I3"/>
    <mergeCell ref="B4:I4"/>
  </mergeCells>
  <printOptions horizontalCentered="1"/>
  <pageMargins left="0.75" right="0.75" top="1" bottom="1" header="0.511811023622047" footer="0.511811023622047"/>
  <pageSetup paperSize="9" fitToHeight="0" orientation="portrait" horizontalDpi="300" verticalDpi="300"/>
  <drawing r:id="rId1"/>
</worksheet>
</file>

<file path=xl/worksheets/sheet5.xml><?xml version="1.0" encoding="utf-8"?>
<worksheet xmlns="http://schemas.openxmlformats.org/spreadsheetml/2006/main" xmlns:r="http://schemas.openxmlformats.org/officeDocument/2006/relationships">
  <sheetPr>
    <pageSetUpPr fitToPage="1"/>
  </sheetPr>
  <dimension ref="B1:H4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baseColWidth="10" defaultColWidth="8.7109375" defaultRowHeight="15"/>
  <cols>
    <col min="1" max="1" width="2" customWidth="1"/>
    <col min="2" max="2" width="6" customWidth="1"/>
    <col min="3" max="3" width="13" customWidth="1"/>
    <col min="4" max="4" width="46" customWidth="1"/>
    <col min="5" max="5" width="22" customWidth="1"/>
    <col min="6" max="6" width="48" customWidth="1"/>
    <col min="7" max="7" width="70" customWidth="1"/>
    <col min="8" max="8" width="30" customWidth="1"/>
  </cols>
  <sheetData>
    <row r="1" ht="39.75" customHeight="1">
      <c r="B1" s="13" t="s">
        <v>0</v>
      </c>
      <c r="C1" s="13"/>
      <c r="D1" s="13"/>
      <c r="E1" s="13"/>
      <c r="F1" s="13"/>
      <c r="G1" s="13"/>
      <c r="H1" s="13"/>
    </row>
    <row r="2" ht="21.75" customHeight="1">
      <c r="B2" s="12" t="s">
        <v>1</v>
      </c>
      <c r="C2" s="12"/>
      <c r="D2" s="12"/>
      <c r="E2" s="12"/>
      <c r="F2" s="12"/>
      <c r="G2" s="12"/>
      <c r="H2" s="12"/>
    </row>
    <row r="3" ht="25.5" customHeight="1">
      <c r="B3" s="8" t="s">
        <v>176</v>
      </c>
      <c r="C3" s="8"/>
      <c r="D3" s="8"/>
      <c r="E3" s="8"/>
      <c r="F3" s="8"/>
      <c r="G3" s="8"/>
      <c r="H3" s="8"/>
    </row>
    <row r="4" ht="15" customHeight="1">
      <c r="B4" s="74" t="s">
        <v>177</v>
      </c>
      <c r="C4" s="74"/>
      <c r="D4" s="74"/>
      <c r="E4" s="35">
        <v>4</v>
      </c>
    </row>
    <row r="5" ht="30" customHeight="1">
      <c r="B5" s="9" t="s">
        <v>178</v>
      </c>
      <c r="C5" s="9"/>
      <c r="D5" s="9"/>
      <c r="E5" s="9"/>
      <c r="F5" s="9"/>
      <c r="G5" s="9"/>
      <c r="H5" s="9"/>
    </row>
    <row r="6" ht="25.5" customHeight="1">
      <c r="B6" s="75" t="inlineStr">
        <is>
          <t xml:space="preserve">LISTE DES MISSIONS : J1 à J7 une mission par jour, puis une nouvelle mission chaque semaine. Tu peux en ajouter jusqu'à 40 (ligne suivante libre, dans l'ordre des jours).</t>
        </is>
      </c>
      <c r="C6" s="75"/>
      <c r="D6" s="75"/>
      <c r="E6" s="75"/>
      <c r="F6" s="75"/>
      <c r="G6" s="75"/>
      <c r="H6" s="75"/>
    </row>
    <row r="7" ht="25.5">
      <c r="B7" s="48" t="s">
        <v>180</v>
      </c>
      <c r="C7" s="48" t="s">
        <v>181</v>
      </c>
      <c r="D7" s="48" t="s">
        <v>182</v>
      </c>
      <c r="E7" s="48" t="s">
        <v>78</v>
      </c>
      <c r="F7" s="48" t="s">
        <v>183</v>
      </c>
      <c r="G7" s="48" t="inlineStr">
        <is>
          <t xml:space="preserve">Récompense (sens du hadith)</t>
        </is>
      </c>
      <c r="H7" s="48" t="inlineStr">
        <is>
          <t xml:space="preserve">Source</t>
        </is>
      </c>
    </row>
    <row r="8" ht="66.8" customHeight="1">
      <c r="B8" s="44">
        <v>1</v>
      </c>
      <c r="C8" s="49">
        <v>1</v>
      </c>
      <c r="D8" s="21" t="inlineStr">
        <is>
          <t xml:space="preserve">Lire les 10 versets de la semaine</t>
        </is>
      </c>
      <c r="E8" s="35" t="inlineStr">
        <is>
          <t xml:space="preserve">Habitude recommandée</t>
        </is>
      </c>
      <c r="F8" s="21" t="inlineStr">
        <is>
          <t xml:space="preserve">Onglet VERSETS : lis les 10 versets de ta semaine avec leur traduction, lentement. Tu peux les relire chaque jour : la régularité compte plus que la quantité.</t>
        </is>
      </c>
      <c r="G8" s="21" t="inlineStr">
        <is>
          <t xml:space="preserve">Le Prophète ﷺ a dit : « Celui qui lit une lettre du Livre d'Allah aura une bonne action, et la bonne action est multipliée par dix. »</t>
        </is>
      </c>
      <c r="H8" s="21" t="inlineStr">
        <is>
          <t xml:space="preserve">At-Tirmidhi 2910 (hasan)</t>
        </is>
      </c>
    </row>
    <row r="9" ht="80" customHeight="1">
      <c r="B9" s="44">
        <v>2</v>
      </c>
      <c r="C9" s="49">
        <v>2</v>
      </c>
      <c r="D9" s="21" t="inlineStr">
        <is>
          <t xml:space="preserve">Dire l'invocation du réveil</t>
        </is>
      </c>
      <c r="E9" s="35" t="inlineStr">
        <is>
          <t xml:space="preserve">Habitude recommandée</t>
        </is>
      </c>
      <c r="F9" s="21" t="inlineStr">
        <is>
          <t xml:space="preserve">À dire dès le réveil, avant de prendre son téléphone. « Al-ḥamdu lillāhi lladhī aḥyānā baʿda mā amātanā wa ilayhi n-nushūr » (الحمد لله الذي أحيانا بعد ما أماتنا وإليه النشور).</t>
        </is>
      </c>
      <c r="G9" s="21" t="inlineStr">
        <is>
          <t xml:space="preserve">Le Prophète ﷺ disait au réveil : « Louange à Allah qui nous a redonné la vie après nous avoir fait mourir, et c'est vers Lui que sera la résurrection. » Le sommeil est une petite mort : te réveiller est une raison de remercier Allah dès la première minute. Aucune récompense chiffrée n'est précisée : on s'en tient à ce que dit le texte.</t>
        </is>
      </c>
      <c r="H9" s="21" t="inlineStr">
        <is>
          <t xml:space="preserve">Boukhari 6312 ; Mouslim 2711</t>
        </is>
      </c>
    </row>
    <row r="10" ht="66.8" customHeight="1">
      <c r="B10" s="44">
        <v>3</v>
      </c>
      <c r="C10" s="49">
        <v>3</v>
      </c>
      <c r="D10" s="21" t="inlineStr">
        <is>
          <t xml:space="preserve">Renouveler mon intention pour Allah dans mes activités</t>
        </is>
      </c>
      <c r="E10" s="35" t="inlineStr">
        <is>
          <t xml:space="preserve">Habitude recommandée</t>
        </is>
      </c>
      <c r="F10" s="21" t="inlineStr">
        <is>
          <t xml:space="preserve">Travail, repas, sport, famille : faire de l'ordinaire une adoration. Un instant, avant l'activité : « Je le fais pour Allah ».</t>
        </is>
      </c>
      <c r="G10" s="21" t="inlineStr">
        <is>
          <t xml:space="preserve">Le Prophète ﷺ a dit : « Tu seras récompensé pour tout ce que tu dépenses pour Allah, même pour la bouchée que tu mets dans la bouche de ton épouse. » Une habitude de tous les jours devient une adoration quand l'intention est pour Allah.</t>
        </is>
      </c>
      <c r="H10" s="21" t="inlineStr">
        <is>
          <t xml:space="preserve">Boukhari 56 ; Boukhari 1 (« les actes ne valent que par les intentions »)</t>
        </is>
      </c>
    </row>
    <row r="11" ht="40.4" customHeight="1">
      <c r="B11" s="44">
        <v>4</v>
      </c>
      <c r="C11" s="49">
        <v>4</v>
      </c>
      <c r="D11" s="21" t="inlineStr">
        <is>
          <t xml:space="preserve">Bon soupçon envers les autres et sourires sincères</t>
        </is>
      </c>
      <c r="E11" s="35" t="inlineStr">
        <is>
          <t xml:space="preserve">Habitude recommandée</t>
        </is>
      </c>
      <c r="F11" s="21" t="inlineStr">
        <is>
          <t xml:space="preserve">Chercher l'excuse avant le reproche ; sourire à ceux qu'on croise.</t>
        </is>
      </c>
      <c r="G11" s="21" t="inlineStr">
        <is>
          <t xml:space="preserve">« Ton sourire au visage de ton frère est une aumône. » Et : « Gardez-vous du soupçon, car le soupçon est le plus mensonger des discours. »</t>
        </is>
      </c>
      <c r="H11" s="21" t="inlineStr">
        <is>
          <t xml:space="preserve">At-Tirmidhi 1956 (hasan) ; Boukhari 6066</t>
        </is>
      </c>
    </row>
    <row r="12" ht="40.4" customHeight="1">
      <c r="B12" s="44">
        <v>5</v>
      </c>
      <c r="C12" s="49">
        <v>5</v>
      </c>
      <c r="D12" s="21" t="inlineStr">
        <is>
          <t xml:space="preserve">Prononcer 100 fois « Astaghfirullah »</t>
        </is>
      </c>
      <c r="E12" s="35" t="inlineStr">
        <is>
          <t xml:space="preserve">Habitude recommandée</t>
        </is>
      </c>
      <c r="F12" s="21" t="inlineStr">
        <is>
          <t xml:space="preserve">Avec une intention sincère, à un moment fixe de la journée. (أستغفر الله)</t>
        </is>
      </c>
      <c r="G12" s="21" t="inlineStr">
        <is>
          <t xml:space="preserve">Le Prophète ﷺ a dit : « Il y a parfois comme un voile sur mon cœur, et je demande pardon à Allah cent fois par jour. »</t>
        </is>
      </c>
      <c r="H12" s="21" t="inlineStr">
        <is>
          <t xml:space="preserve">Mouslim 2702</t>
        </is>
      </c>
    </row>
    <row r="13" ht="53.6" customHeight="1">
      <c r="B13" s="44">
        <v>6</v>
      </c>
      <c r="C13" s="49">
        <v>6</v>
      </c>
      <c r="D13" s="21" t="inlineStr">
        <is>
          <t xml:space="preserve">Dire 100 fois « Subḥān Allāh wa bi-ḥamdih »</t>
        </is>
      </c>
      <c r="E13" s="35" t="inlineStr">
        <is>
          <t xml:space="preserve">Habitude recommandée</t>
        </is>
      </c>
      <c r="F13" s="21" t="inlineStr">
        <is>
          <t xml:space="preserve">Formule : « Subḥāna Llāhi wa bi-ḥamdih » (سبحان الله وبحمده). Accroche-la à un moment fixe, par exemple après la prière du matin.</t>
        </is>
      </c>
      <c r="G13" s="21" t="inlineStr">
        <is>
          <t xml:space="preserve">Le Prophète ﷺ a dit : « Celui qui dit « Subḥāna Llāhi wa bi-ḥamdih » cent fois par jour, ses péchés lui sont pardonnés, même s'ils sont comme l'écume de la mer. »</t>
        </is>
      </c>
      <c r="H13" s="21" t="inlineStr">
        <is>
          <t xml:space="preserve">Boukhari 6405</t>
        </is>
      </c>
    </row>
    <row r="14" ht="53.6" customHeight="1">
      <c r="B14" s="44">
        <v>7</v>
      </c>
      <c r="C14" s="49">
        <v>7</v>
      </c>
      <c r="D14" s="21" t="inlineStr">
        <is>
          <t xml:space="preserve">Envoyer 10 fois des salutations sur le Prophète ﷺ</t>
        </is>
      </c>
      <c r="E14" s="35" t="inlineStr">
        <is>
          <t xml:space="preserve">Habitude recommandée</t>
        </is>
      </c>
      <c r="F14" s="21" t="inlineStr">
        <is>
          <t xml:space="preserve">Formule simple : « Allāhumma ṣalli ʿalā Muḥammad » ou « Ṣallā Llāhu ʿalayhi wa sallam ». Le vendredi, multiplie-les.</t>
        </is>
      </c>
      <c r="G14" s="21" t="inlineStr">
        <is>
          <t xml:space="preserve">Le Prophète ﷺ a dit : « Celui qui prie sur moi une fois, Allah priera sur lui dix fois. »</t>
        </is>
      </c>
      <c r="H14" s="21" t="inlineStr">
        <is>
          <t xml:space="preserve">Mouslim 408</t>
        </is>
      </c>
    </row>
    <row r="15" ht="66.8" customHeight="1">
      <c r="B15" s="44">
        <v>8</v>
      </c>
      <c r="C15" s="49">
        <v>8</v>
      </c>
      <c r="D15" s="21" t="inlineStr">
        <is>
          <t xml:space="preserve">Invoquer Allah de m'accorder le Ramadan</t>
        </is>
      </c>
      <c r="E15" s="35" t="inlineStr">
        <is>
          <t xml:space="preserve">Habitude recommandée</t>
        </is>
      </c>
      <c r="F15" s="21" t="inlineStr">
        <is>
          <t xml:space="preserve">Une fois par jour, dis simplement : « Ô Allah, fais-moi atteindre le Ramadan, et accepte-le de moi. » C'est la pratique des pieux prédécesseurs, que tu continueras jusqu'au Ramadan.</t>
        </is>
      </c>
      <c r="G15" s="21" t="inlineStr">
        <is>
          <t xml:space="preserve">Les pieux prédécesseurs invoquaient Allah pendant six mois pour atteindre le Ramadan, puis pendant six mois pour qu'Il l'accepte d'eux.</t>
        </is>
      </c>
      <c r="H15" s="21" t="inlineStr">
        <is>
          <t xml:space="preserve">Muʿallâ ibn al-Faḍl, rapporté par Ibn Rajab, Laṭâʾif al-Maʿârif (récit des pieux prédécesseurs, pas un hadith)</t>
        </is>
      </c>
    </row>
    <row r="16" ht="80" customHeight="1">
      <c r="B16" s="44">
        <v>9</v>
      </c>
      <c r="C16" s="49">
        <v>15</v>
      </c>
      <c r="D16" s="21" t="inlineStr">
        <is>
          <t xml:space="preserve">Réciter 3 fois la sourate al-Ikhlâs (matin et soir)</t>
        </is>
      </c>
      <c r="E16" s="35" t="inlineStr">
        <is>
          <t xml:space="preserve">Habitude recommandée</t>
        </is>
      </c>
      <c r="F16" s="21" t="inlineStr">
        <is>
          <t xml:space="preserve">Le matin et le soir, 3 fois chaque fois. Une récitation équivaut à un tiers du Coran en récompense : 3 récitations en font donc l'équivalent d'un Coran entier. L'équivalence concerne la récompense : elle ne dispense pas de lire le Coran.</t>
        </is>
      </c>
      <c r="G16" s="21" t="inlineStr">
        <is>
          <t xml:space="preserve">Le Prophète ﷺ a dit : « Par Celui qui tient mon âme dans Sa main, cette sourate (Dis : Il est Allah, Unique) équivaut à un tiers du Coran ! » (Trois récitations = trois tiers = un Coran entier en récompense.)</t>
        </is>
      </c>
      <c r="H16" s="21" t="inlineStr">
        <is>
          <t xml:space="preserve">Boukhari 5013 ; Mouslim 811</t>
        </is>
      </c>
    </row>
    <row r="17" ht="66.8" customHeight="1">
      <c r="B17" s="44">
        <v>10</v>
      </c>
      <c r="C17" s="49">
        <v>22</v>
      </c>
      <c r="D17" s="21" t="inlineStr">
        <is>
          <t xml:space="preserve">Réciter al-Falaq et an-Nâs (matin et soir)</t>
        </is>
      </c>
      <c r="E17" s="35" t="inlineStr">
        <is>
          <t xml:space="preserve">Habitude recommandée</t>
        </is>
      </c>
      <c r="F17" s="21" t="inlineStr">
        <is>
          <t xml:space="preserve">Avec al-Ikhlâs que tu récites déjà : les trois dernières sourates, 3 fois le matin et le soir. Avant de dormir, souffle dans tes mains en les récitant puis passe-les sur ton corps.</t>
        </is>
      </c>
      <c r="G17" s="21" t="inlineStr">
        <is>
          <t xml:space="preserve">Le Prophète ﷺ a dit : « Dis : « Il est Allah, Unique » et les deux protectrices (al-Falaq et an-Nâs) le soir et le matin, trois fois : cela te suffira contre tout. » Il les récitait aussi avant de dormir, puis passait ses mains sur son corps.</t>
        </is>
      </c>
      <c r="H17" s="21" t="inlineStr">
        <is>
          <t xml:space="preserve">Abou Dawoud 5082 (hasan) ; Boukhari 5017</t>
        </is>
      </c>
    </row>
    <row r="18" ht="53.6" customHeight="1">
      <c r="B18" s="44">
        <v>11</v>
      </c>
      <c r="C18" s="49">
        <v>29</v>
      </c>
      <c r="D18" s="21" t="inlineStr">
        <is>
          <t xml:space="preserve">Réciter Âyat al-Kursî avant de dormir</t>
        </is>
      </c>
      <c r="E18" s="35" t="inlineStr">
        <is>
          <t xml:space="preserve">Habitude recommandée</t>
        </is>
      </c>
      <c r="F18" s="21" t="inlineStr">
        <is>
          <t xml:space="preserve">Avant de dormir, récite le verset 2:255 en entier (le verset du Trône).</t>
        </is>
      </c>
      <c r="G18" s="21" t="inlineStr">
        <is>
          <t xml:space="preserve">Le Prophète ﷺ a confirmé la parole : « Quand tu vas te coucher, récite Âyat al-Kursî jusqu'à la fin : un gardien d'Allah restera auprès de toi et aucun démon ne s'approchera de toi jusqu'au matin. »</t>
        </is>
      </c>
      <c r="H18" s="21" t="inlineStr">
        <is>
          <t xml:space="preserve">Boukhari 2311 ; Boukhari 5010</t>
        </is>
      </c>
    </row>
    <row r="19" ht="93.2" customHeight="1">
      <c r="B19" s="44">
        <v>12</v>
      </c>
      <c r="C19" s="49">
        <v>36</v>
      </c>
      <c r="D19" s="21" t="inlineStr">
        <is>
          <t xml:space="preserve">Ablutions soignées puis témoignage de foi</t>
        </is>
      </c>
      <c r="E19" s="35" t="inlineStr">
        <is>
          <t xml:space="preserve">Habitude recommandée</t>
        </is>
      </c>
      <c r="F19" s="21" t="inlineStr">
        <is>
          <t xml:space="preserve">Fais tes ablutions avec calme et soin, puis dis : « Ashhadu an lā ilāha illa Llāh waḥdahu lā sharīka lah, wa ashhadu anna Muḥammadan ʿabduhu wa rasūluh ».</t>
        </is>
      </c>
      <c r="G19" s="21" t="inlineStr">
        <is>
          <t xml:space="preserve">Le Prophète ﷺ a dit : « Celui qui fait bien ses ablutions puis dit « J'atteste qu'il n'y a de divinité qu'Allah et que Muhammad est Son serviteur et Son Messager », les huit portes du Paradis lui sont ouvertes : il entre par celle qu'il veut. » Et : « Si un musulman fait bien ses ablutions puis prie deux rakʿât en y mettant son cœur et son visage, le Paradis lui est garanti. »</t>
        </is>
      </c>
      <c r="H19" s="21" t="inlineStr">
        <is>
          <t xml:space="preserve">Mouslim 234</t>
        </is>
      </c>
    </row>
    <row r="20" ht="80" customHeight="1">
      <c r="B20" s="44">
        <v>13</v>
      </c>
      <c r="C20" s="49">
        <v>43</v>
      </c>
      <c r="D20" s="21" t="inlineStr">
        <is>
          <t xml:space="preserve">Faire les adhkâr après chaque prière</t>
        </is>
      </c>
      <c r="E20" s="35" t="inlineStr">
        <is>
          <t xml:space="preserve">Habitude recommandée</t>
        </is>
      </c>
      <c r="F20" s="21" t="inlineStr">
        <is>
          <t xml:space="preserve">Après chaque prière obligatoire : Subḥān Allāh ×33, al-ḥamdu lillāh ×33, Allāhu akbar ×33, puis « Lā ilāha illa Llāh waḥdahu lā sharīka lah, lahu l-mulku wa lahu l-ḥamd, wa huwa ʿalā kulli shay'in qadīr ». N/A les jours où tu n'as pas prié.</t>
        </is>
      </c>
      <c r="G20" s="21" t="inlineStr">
        <is>
          <t xml:space="preserve">Le Prophète ﷺ a dit : « Celui qui glorifie Allah 33 fois, Le loue 33 fois et proclame Sa grandeur 33 fois après chaque prière, puis dit pour compléter la centaine « Lā ilāha illa Llāh… », ses péchés sont pardonnés, même s'ils sont comme l'écume de la mer. »</t>
        </is>
      </c>
      <c r="H20" s="21" t="inlineStr">
        <is>
          <t xml:space="preserve">Mouslim 597</t>
        </is>
      </c>
    </row>
    <row r="21" ht="66.8" customHeight="1">
      <c r="B21" s="44">
        <v>14</v>
      </c>
      <c r="C21" s="49">
        <v>50</v>
      </c>
      <c r="D21" s="21" t="inlineStr">
        <is>
          <t xml:space="preserve">Dire l'invocation en sortant de chez moi</t>
        </is>
      </c>
      <c r="E21" s="35" t="inlineStr">
        <is>
          <t xml:space="preserve">Habitude recommandée</t>
        </is>
      </c>
      <c r="F21" s="21" t="inlineStr">
        <is>
          <t xml:space="preserve">En franchissant la porte : « Bismi Llāh, tawakkaltu ʿalā Llāh, lā ḥawla wa lā quwwata illā billāh ».</t>
        </is>
      </c>
      <c r="G21" s="21" t="inlineStr">
        <is>
          <t xml:space="preserve">Le Prophète ﷺ a dit : « Quand l'homme sort de chez lui et dit : « Au nom d'Allah, je place ma confiance en Allah, il n'y a de force ni de puissance qu'en Allah », on lui dit : « Tu es guidé, défendu et protégé. » Les démons s'éloignent de lui. »</t>
        </is>
      </c>
      <c r="H21" s="21" t="inlineStr">
        <is>
          <t xml:space="preserve">Abou Dawoud 5095 (sahih)</t>
        </is>
      </c>
    </row>
    <row r="22" ht="66.8" customHeight="1">
      <c r="B22" s="44">
        <v>15</v>
      </c>
      <c r="C22" s="49">
        <v>57</v>
      </c>
      <c r="D22" s="21" t="inlineStr">
        <is>
          <t xml:space="preserve">Prier en groupe quand c'est possible</t>
        </is>
      </c>
      <c r="E22" s="35" t="inlineStr">
        <is>
          <t xml:space="preserve">Habitude recommandée</t>
        </is>
      </c>
      <c r="F22" s="21" t="inlineStr">
        <is>
          <t xml:space="preserve">Commence par une prière par jour (par exemple Fajr ou ʿIshâ). Si tu ne peux pas aujourd'hui (travail, maladie, voyage), marque N/A : tu n'es pas pénalisé.</t>
        </is>
      </c>
      <c r="G22" s="21" t="inlineStr">
        <is>
          <t xml:space="preserve">Le Prophète ﷺ a dit : « La prière en groupe est supérieure de vingt-sept degrés à la prière accomplie seul. »</t>
        </is>
      </c>
      <c r="H22" s="21" t="inlineStr">
        <is>
          <t xml:space="preserve">Boukhari 645 ; Mouslim 650</t>
        </is>
      </c>
    </row>
    <row r="23" ht="53.6" customHeight="1">
      <c r="B23" s="44">
        <v>16</v>
      </c>
      <c r="C23" s="49">
        <v>64</v>
      </c>
      <c r="D23" s="21" t="inlineStr">
        <is>
          <t xml:space="preserve">Ablutions à la maison puis marche vers la prière</t>
        </is>
      </c>
      <c r="E23" s="35" t="inlineStr">
        <is>
          <t xml:space="preserve">Habitude recommandée</t>
        </is>
      </c>
      <c r="F23" s="21" t="inlineStr">
        <is>
          <t xml:space="preserve">Fais tes ablutions chez toi, puis marche vers la mosquée. Si tu ne peux pas aller à la mosquée aujourd'hui, marque N/A.</t>
        </is>
      </c>
      <c r="G23" s="21" t="inlineStr">
        <is>
          <t xml:space="preserve">Le Prophète ﷺ a dit : « Celui qui se purifie chez lui puis marche vers l'une des maisons d'Allah pour accomplir une des obligations d'Allah, chacun de ses deux pas fait tomber un péché et élève d'un degré. »</t>
        </is>
      </c>
      <c r="H23" s="21" t="inlineStr">
        <is>
          <t xml:space="preserve">Mouslim 666</t>
        </is>
      </c>
    </row>
    <row r="24" ht="66.8" customHeight="1">
      <c r="B24" s="44">
        <v>17</v>
      </c>
      <c r="C24" s="49">
        <v>71</v>
      </c>
      <c r="D24" s="21" t="inlineStr">
        <is>
          <t xml:space="preserve">Prier les 12 rakʿât de sunna (rawâtib)</t>
        </is>
      </c>
      <c r="E24" s="35" t="inlineStr">
        <is>
          <t xml:space="preserve">Habitude recommandée</t>
        </is>
      </c>
      <c r="F24" s="21" t="inlineStr">
        <is>
          <t xml:space="preserve">Deux avant Fajr, quatre avant Dhuhr, deux après Dhuhr, deux après Maghrib, deux après ʿIshâ. Commence par celles que tu peux tenir (par exemple Fajr) et ajoute les autres peu à peu.</t>
        </is>
      </c>
      <c r="G24" s="21" t="inlineStr">
        <is>
          <t xml:space="preserve">Le Prophète ﷺ a dit : « Quiconque prie douze rakʿât dans le jour et la nuit, une maison lui sera construite au Paradis. » Les deux rakʿât de Fajr : « meilleures que ce bas monde et tout ce qu'il contient » (Mouslim 725).</t>
        </is>
      </c>
      <c r="H24" s="21" t="inlineStr">
        <is>
          <t xml:space="preserve">Mouslim 728 ; Mouslim 725</t>
        </is>
      </c>
    </row>
    <row r="25" ht="53.6" customHeight="1">
      <c r="B25" s="44">
        <v>18</v>
      </c>
      <c r="C25" s="49">
        <v>78</v>
      </c>
      <c r="D25" s="21" t="inlineStr">
        <is>
          <t xml:space="preserve">Prier 2 rakʿât de Duḥâ</t>
        </is>
      </c>
      <c r="E25" s="35" t="inlineStr">
        <is>
          <t xml:space="preserve">Habitude recommandée</t>
        </is>
      </c>
      <c r="F25" s="21" t="inlineStr">
        <is>
          <t xml:space="preserve">Dans la matinée, après le lever du soleil et avant la mi-journée, même brièvement.</t>
        </is>
      </c>
      <c r="G25" s="21" t="inlineStr">
        <is>
          <t xml:space="preserve">Le Prophète ﷺ a dit : « Chaque matin, une aumône est due pour chacune de vos articulations… et deux rakʿât que l'on prie à l'heure de Duḥâ suffisent. »</t>
        </is>
      </c>
      <c r="H25" s="21" t="inlineStr">
        <is>
          <t xml:space="preserve">Mouslim 720</t>
        </is>
      </c>
    </row>
    <row r="26" ht="53.6" customHeight="1">
      <c r="B26" s="44">
        <v>19</v>
      </c>
      <c r="C26" s="49">
        <v>85</v>
      </c>
      <c r="D26" s="21" t="inlineStr">
        <is>
          <t xml:space="preserve">Utiliser le siwâk avant la prière</t>
        </is>
      </c>
      <c r="E26" s="35" t="inlineStr">
        <is>
          <t xml:space="preserve">Habitude recommandée</t>
        </is>
      </c>
      <c r="F26" s="21" t="inlineStr">
        <is>
          <t xml:space="preserve">Ou te brosser les dents. Une habitude simple qui soigne ton corps et ta bouche avant de te présenter devant Allah.</t>
        </is>
      </c>
      <c r="G26" s="21" t="inlineStr">
        <is>
          <t xml:space="preserve">Le Prophète ﷺ a dit : « Si cela n'était pas difficile pour ma communauté, je leur aurais ordonné le siwâk à chaque prière. »</t>
        </is>
      </c>
      <c r="H26" s="21" t="inlineStr">
        <is>
          <t xml:space="preserve">Boukhari 887</t>
        </is>
      </c>
    </row>
    <row r="27" ht="66.8" customHeight="1">
      <c r="B27" s="44">
        <v>20</v>
      </c>
      <c r="C27" s="49">
        <v>92</v>
      </c>
      <c r="D27" s="21" t="inlineStr">
        <is>
          <t xml:space="preserve">Jeûner le lundi ou le jeudi</t>
        </is>
      </c>
      <c r="E27" s="35" t="inlineStr">
        <is>
          <t xml:space="preserve">Habitude recommandée</t>
        </is>
      </c>
      <c r="F27" s="21" t="inlineStr">
        <is>
          <t xml:space="preserve">Choisis un des deux jours, une fois par semaine. Les autres jours, marque N/A. Si tu es diabétique, sous traitement ou malade, demande d'abord l'avis de ton médecin.</t>
        </is>
      </c>
      <c r="G27" s="21" t="inlineStr">
        <is>
          <t xml:space="preserve">Le Prophète ﷺ a dit : « Les actes sont présentés (à Allah) le lundi et le jeudi, et j'aime que mes actes soient présentés alors que je jeûne. » Et : « Les portes du Paradis sont ouvertes le lundi et le jeudi… »</t>
        </is>
      </c>
      <c r="H27" s="21" t="inlineStr">
        <is>
          <t xml:space="preserve">At-Tirmidhi 747 (hasan) ; Mouslim 2565</t>
        </is>
      </c>
    </row>
    <row r="28" ht="53.6" customHeight="1">
      <c r="B28" s="44">
        <v>21</v>
      </c>
      <c r="C28" s="49">
        <v>99</v>
      </c>
      <c r="D28" s="21" t="inlineStr">
        <is>
          <t xml:space="preserve">Boire de l'eau en trois gorgées, en reprenant ton souffle</t>
        </is>
      </c>
      <c r="E28" s="35" t="inlineStr">
        <is>
          <t xml:space="preserve">Habitude recommandée</t>
        </is>
      </c>
      <c r="F28" s="21" t="inlineStr">
        <is>
          <t xml:space="preserve">Assis, par petites gorgées, en respirant hors du verre. Cette mission accompagne ton objectif d'hydratation de l'onglet SUIVI.</t>
        </is>
      </c>
      <c r="G28" s="21" t="inlineStr">
        <is>
          <t xml:space="preserve">Anas rapporte que le Prophète ﷺ respirait trois fois en buvant. L'eau fait partie des bienfaits : « Nous avons fait de l'eau toute chose vivante » (Coran 21:30).</t>
        </is>
      </c>
      <c r="H28" s="21" t="inlineStr">
        <is>
          <t xml:space="preserve">Mouslim 2028</t>
        </is>
      </c>
    </row>
    <row r="29" ht="66.8" customHeight="1">
      <c r="B29" s="44">
        <v>22</v>
      </c>
      <c r="C29" s="49">
        <v>106</v>
      </c>
      <c r="D29" s="21" t="inlineStr">
        <is>
          <t xml:space="preserve">Manger avec mesure : s'arrêter avant d'être plein</t>
        </is>
      </c>
      <c r="E29" s="35" t="inlineStr">
        <is>
          <t xml:space="preserve">Habitude recommandée</t>
        </is>
      </c>
      <c r="F29" s="21" t="inlineStr">
        <is>
          <t xml:space="preserve">Un principe de mesure, pas un régime ni un nombre de repas. Pose ta fourchette quand tu n'as plus faim, pas quand l'assiette est vide.</t>
        </is>
      </c>
      <c r="G29" s="21" t="inlineStr">
        <is>
          <t xml:space="preserve">Le Prophète ﷺ a dit : « Le fils d'Adam ne remplit pas de récipient pire que son ventre. Il lui suffit de quelques bouchées qui tiennent son dos droit. S'il faut absolument plus : un tiers pour sa nourriture, un tiers pour sa boisson et un tiers pour son souffle. »</t>
        </is>
      </c>
      <c r="H29" s="21" t="inlineStr">
        <is>
          <t xml:space="preserve">At-Tirmidhi 2380 (sahih)</t>
        </is>
      </c>
    </row>
    <row r="30" ht="66.8" customHeight="1">
      <c r="B30" s="44">
        <v>23</v>
      </c>
      <c r="C30" s="49">
        <v>113</v>
      </c>
      <c r="D30" s="21" t="inlineStr">
        <is>
          <t xml:space="preserve">Dormir en état de pureté, sur le côté droit</t>
        </is>
      </c>
      <c r="E30" s="35" t="inlineStr">
        <is>
          <t xml:space="preserve">Habitude recommandée</t>
        </is>
      </c>
      <c r="F30" s="21" t="inlineStr">
        <is>
          <t xml:space="preserve">Ablutions avant de dormir, coucher sur le côté droit, adhkâr du soir. Ils se lient à ton objectif de sommeil de l'onglet SUIVI.</t>
        </is>
      </c>
      <c r="G30" s="21" t="inlineStr">
        <is>
          <t xml:space="preserve">Le Prophète ﷺ a dit : « Quand tu vas te coucher, fais tes ablutions comme pour la prière, couche-toi sur ton côté droit et dis l'invocation : « Ô Allah, je Te soumets mon visage… ». Si tu meurs cette nuit-là, tu mourras sur la foi. Que ce soient les dernières paroles que tu dis. »</t>
        </is>
      </c>
      <c r="H30" s="21" t="inlineStr">
        <is>
          <t xml:space="preserve">Boukhari 247</t>
        </is>
      </c>
    </row>
    <row r="31" ht="66.8" customHeight="1">
      <c r="B31" s="44">
        <v>24</v>
      </c>
      <c r="C31" s="49">
        <v>120</v>
      </c>
      <c r="D31" s="21" t="inlineStr">
        <is>
          <t xml:space="preserve">Bouger au moins 20 minutes</t>
        </is>
      </c>
      <c r="E31" s="35" t="inlineStr">
        <is>
          <t xml:space="preserve">Habitude recommandée</t>
        </is>
      </c>
      <c r="F31" s="21" t="inlineStr">
        <is>
          <t xml:space="preserve">Marche, renforcement, sport : adapte à tes capacités. La force dont parle le hadith est d'abord celle de la foi ; prendre soin de ton corps la soutient.</t>
        </is>
      </c>
      <c r="G31" s="21" t="inlineStr">
        <is>
          <t xml:space="preserve">Le Prophète ﷺ a dit : « Le croyant fort est meilleur et plus aimé d'Allah que le croyant faible, et il y a du bien en chacun. » Et : « Préparez contre eux autant de force que vous pouvez. Certes, la force est dans le tir. »</t>
        </is>
      </c>
      <c r="H31" s="21" t="inlineStr">
        <is>
          <t xml:space="preserve">Mouslim 2664 ; Mouslim 1917</t>
        </is>
      </c>
    </row>
    <row r="32" ht="40.4" customHeight="1">
      <c r="B32" s="44">
        <v>25</v>
      </c>
      <c r="C32" s="49">
        <v>127</v>
      </c>
      <c r="D32" s="21" t="inlineStr">
        <is>
          <t xml:space="preserve">Donner une aumône, même petite</t>
        </is>
      </c>
      <c r="E32" s="35" t="inlineStr">
        <is>
          <t xml:space="preserve">Habitude recommandée</t>
        </is>
      </c>
      <c r="F32" s="21" t="inlineStr">
        <is>
          <t xml:space="preserve">Une pièce, un repas, un service : le but est de ne pas laisser passer la journée sans donner.</t>
        </is>
      </c>
      <c r="G32" s="21" t="inlineStr">
        <is>
          <t xml:space="preserve">Le Prophète ﷺ a dit : « Protégez-vous du Feu, ne serait-ce qu'avec une demi-datte. »</t>
        </is>
      </c>
      <c r="H32" s="21" t="inlineStr">
        <is>
          <t xml:space="preserve">Boukhari 1417</t>
        </is>
      </c>
    </row>
    <row r="33" ht="40.4" customHeight="1">
      <c r="B33" s="44">
        <v>26</v>
      </c>
      <c r="C33" s="49">
        <v>134</v>
      </c>
      <c r="D33" s="21" t="inlineStr">
        <is>
          <t xml:space="preserve">Appeler ou visiter un proche</t>
        </is>
      </c>
      <c r="E33" s="35" t="inlineStr">
        <is>
          <t xml:space="preserve">Habitude recommandée</t>
        </is>
      </c>
      <c r="F33" s="21" t="inlineStr">
        <is>
          <t xml:space="preserve">Un appel, un message, une visite : entretiens les liens avec tes parents, ta famille, tes amis.</t>
        </is>
      </c>
      <c r="G33" s="21" t="inlineStr">
        <is>
          <t xml:space="preserve">Le Prophète ﷺ a dit : « Celui qui aime que sa subsistance soit élargie et sa vie prolongée, qu'il entretienne les liens de parenté. »</t>
        </is>
      </c>
      <c r="H33" s="21" t="inlineStr">
        <is>
          <t xml:space="preserve">Boukhari 5985 ; Mouslim 2557</t>
        </is>
      </c>
    </row>
    <row r="34" ht="80" customHeight="1">
      <c r="B34" s="44">
        <v>27</v>
      </c>
      <c r="C34" s="49">
        <v>141</v>
      </c>
      <c r="D34" s="21" t="inlineStr">
        <is>
          <t xml:space="preserve">Me lever pour la prière de nuit (même 2 rakʿât)</t>
        </is>
      </c>
      <c r="E34" s="35" t="inlineStr">
        <is>
          <t xml:space="preserve">Habitude recommandée</t>
        </is>
      </c>
      <c r="F34" s="21" t="inlineStr">
        <is>
          <t xml:space="preserve">Commence par deux rakʿât et le witr, une quinzaine de minutes avant Fajr. N/A si ce n'est pas possible aujourd'hui.</t>
        </is>
      </c>
      <c r="G34" s="21" t="inlineStr">
        <is>
          <t xml:space="preserve">Le Prophète ﷺ a dit : « Notre Seigneur descend chaque nuit au ciel le plus proche, quand reste le dernier tiers de la nuit, et dit : « Y a-t-il quelqu'un qui M'invoque, que Je lui réponde ? Quelqu'un qui Me demande, que Je lui donne ? Quelqu'un qui demande Mon pardon, que Je lui pardonne ? » »</t>
        </is>
      </c>
      <c r="H34" s="21" t="inlineStr">
        <is>
          <t xml:space="preserve">Boukhari 1145 ; Mouslim 758</t>
        </is>
      </c>
    </row>
    <row r="35" ht="40.4" customHeight="1">
      <c r="B35" s="44">
        <v>28</v>
      </c>
      <c r="C35" s="49">
        <v>148</v>
      </c>
      <c r="D35" s="21" t="inlineStr">
        <is>
          <t xml:space="preserve">Apprendre un verset par cœur et l'expliquer</t>
        </is>
      </c>
      <c r="E35" s="35" t="inlineStr">
        <is>
          <t xml:space="preserve">Habitude recommandée</t>
        </is>
      </c>
      <c r="F35" s="21" t="inlineStr">
        <is>
          <t xml:space="preserve">Choisis un verset de ta semaine, mémorise-le et explique-le à un proche ou à tes enfants.</t>
        </is>
      </c>
      <c r="G35" s="21" t="inlineStr">
        <is>
          <t xml:space="preserve">Le Prophète ﷺ a dit : « Les meilleurs d'entre vous sont ceux qui apprennent le Coran et l'enseignent. »</t>
        </is>
      </c>
      <c r="H35" s="21" t="inlineStr">
        <is>
          <t xml:space="preserve">Boukhari 5027</t>
        </is>
      </c>
    </row>
    <row r="36" ht="53.6" customHeight="1">
      <c r="B36" s="44">
        <v>29</v>
      </c>
      <c r="C36" s="49">
        <v>155</v>
      </c>
      <c r="D36" s="21" t="inlineStr">
        <is>
          <t xml:space="preserve">Nourrir un jeûneur ou partager un repas</t>
        </is>
      </c>
      <c r="E36" s="35" t="inlineStr">
        <is>
          <t xml:space="preserve">Habitude recommandée</t>
        </is>
      </c>
      <c r="F36" s="21" t="inlineStr">
        <is>
          <t xml:space="preserve">Un lundi ou un jeudi, invite un proche ou envoie-lui un repas pour la rupture du jeûne. N/A les autres jours.</t>
        </is>
      </c>
      <c r="G36" s="21" t="inlineStr">
        <is>
          <t xml:space="preserve">Le Prophète ﷺ a dit : « Celui qui donne à manger à un jeûneur pour rompre son jeûne aura la même récompense que lui, sans que la récompense du jeûneur ne diminue en rien. »</t>
        </is>
      </c>
      <c r="H36" s="21" t="inlineStr">
        <is>
          <t xml:space="preserve">At-Tirmidhi 807 (sahih)</t>
        </is>
      </c>
    </row>
    <row r="37" ht="106.4" customHeight="1">
      <c r="B37" s="44">
        <v>30</v>
      </c>
      <c r="C37" s="49">
        <v>162</v>
      </c>
      <c r="D37" s="21" t="inlineStr">
        <is>
          <t xml:space="preserve">Demander pardon à ceux que j'ai lésés</t>
        </is>
      </c>
      <c r="E37" s="35" t="inlineStr">
        <is>
          <t xml:space="preserve">Habitude recommandée</t>
        </is>
      </c>
      <c r="F37" s="21" t="inlineStr">
        <is>
          <t xml:space="preserve">À faire avant d'entrer dans le Ramadan : réconcilie-toi, rembourse ce que tu dois. Une fois que tu es en paix avec les gens, le Ramadan peut commencer. Et prépare ta prière de nuit pour le Ramadan (Boukhari 37 : « Celui qui accomplit la prière de nuit en Ramadan avec foi et en espérant la récompense, ses péchés passés lui sont pardonnés »).</t>
        </is>
      </c>
      <c r="G37" s="21" t="inlineStr">
        <is>
          <t xml:space="preserve">Le Prophète ﷺ a dit : « Celui qui a lésé son frère dans son honneur ou autrement, qu'il lui demande pardon dès aujourd'hui, avant le jour où il n'y aura ni dinar ni dirham : on prendra de ses bonnes actions à hauteur de son injustice. »</t>
        </is>
      </c>
      <c r="H37" s="21" t="inlineStr">
        <is>
          <t xml:space="preserve">Boukhari 2449 ; Boukhari 37</t>
        </is>
      </c>
    </row>
    <row r="38" ht="30" customHeight="1">
      <c r="B38" s="44">
        <v>31</v>
      </c>
      <c r="C38" s="49"/>
      <c r="D38" s="21"/>
      <c r="E38" s="35"/>
      <c r="F38" s="21"/>
      <c r="G38" s="21"/>
      <c r="H38" s="21"/>
    </row>
    <row r="39" ht="30" customHeight="1">
      <c r="B39" s="44">
        <v>32</v>
      </c>
      <c r="C39" s="49"/>
      <c r="D39" s="21"/>
      <c r="E39" s="35"/>
      <c r="F39" s="21"/>
      <c r="G39" s="21"/>
      <c r="H39" s="21"/>
    </row>
    <row r="40" ht="30" customHeight="1">
      <c r="B40" s="44">
        <v>33</v>
      </c>
      <c r="C40" s="49"/>
      <c r="D40" s="21"/>
      <c r="E40" s="35"/>
      <c r="F40" s="21"/>
      <c r="G40" s="21"/>
      <c r="H40" s="21"/>
    </row>
    <row r="41" ht="30" customHeight="1">
      <c r="B41" s="44">
        <v>34</v>
      </c>
      <c r="C41" s="49"/>
      <c r="D41" s="21"/>
      <c r="E41" s="35"/>
      <c r="F41" s="21"/>
      <c r="G41" s="21"/>
      <c r="H41" s="21"/>
    </row>
    <row r="42" ht="30" customHeight="1">
      <c r="B42" s="44">
        <v>35</v>
      </c>
      <c r="C42" s="49"/>
      <c r="D42" s="21"/>
      <c r="E42" s="35"/>
      <c r="F42" s="21"/>
      <c r="G42" s="21"/>
      <c r="H42" s="21"/>
    </row>
    <row r="43" ht="30" customHeight="1">
      <c r="B43" s="44">
        <v>36</v>
      </c>
      <c r="C43" s="49"/>
      <c r="D43" s="21"/>
      <c r="E43" s="35"/>
      <c r="F43" s="21"/>
      <c r="G43" s="21"/>
      <c r="H43" s="21"/>
    </row>
    <row r="44" ht="30" customHeight="1">
      <c r="B44" s="44">
        <v>37</v>
      </c>
      <c r="C44" s="49"/>
      <c r="D44" s="21"/>
      <c r="E44" s="35"/>
      <c r="F44" s="21"/>
      <c r="G44" s="21"/>
      <c r="H44" s="21"/>
    </row>
    <row r="45" ht="30" customHeight="1">
      <c r="B45" s="44">
        <v>38</v>
      </c>
      <c r="C45" s="49"/>
      <c r="D45" s="21"/>
      <c r="E45" s="35"/>
      <c r="F45" s="21"/>
      <c r="G45" s="21"/>
      <c r="H45" s="21"/>
    </row>
    <row r="46" ht="30" customHeight="1">
      <c r="B46" s="44">
        <v>39</v>
      </c>
      <c r="C46" s="49"/>
      <c r="D46" s="21"/>
      <c r="E46" s="35"/>
      <c r="F46" s="21"/>
      <c r="G46" s="21"/>
      <c r="H46" s="21"/>
    </row>
    <row r="47" ht="30" customHeight="1">
      <c r="B47" s="44">
        <v>40</v>
      </c>
      <c r="C47" s="49"/>
      <c r="D47" s="21"/>
      <c r="E47" s="35"/>
      <c r="F47" s="21"/>
      <c r="G47" s="21"/>
      <c r="H47" s="21"/>
    </row>
    <row r="49" ht="54" customHeight="1">
      <c r="B49" s="9" t="inlineStr">
        <is>
          <t xml:space="preserve">Nature : « Obligation » pour un acte obligatoire (ex. une prière), « Habitude recommandée » pour un acte facultatif. Les deux sont suivis comme des habitudes de régularité. Le fichier ne note jamais la sincérité ni la qualité de la foi. Les colonnes Récompense et Source donnent le sens des hadiths cités avec leur référence : en cas de doute, vérifie auprès d'une personne de science avant de modifier.</t>
        </is>
      </c>
      <c r="C49" s="9"/>
      <c r="D49" s="9"/>
      <c r="E49" s="9"/>
      <c r="F49" s="9"/>
      <c r="G49" s="9"/>
      <c r="H49" s="9"/>
    </row>
  </sheetData>
  <sheetProtection sheet="1" formatColumns="0" formatRows="0"/>
  <mergeCells count="7">
    <mergeCell ref="B6:H6"/>
    <mergeCell ref="B49:H49"/>
    <mergeCell ref="B1:H1"/>
    <mergeCell ref="B2:H2"/>
    <mergeCell ref="B3:H3"/>
    <mergeCell ref="B4:D4"/>
    <mergeCell ref="B5:H5"/>
  </mergeCells>
  <dataValidations count="2">
    <dataValidation type="list" allowBlank="1" showErrorMessage="1" errorTitle="Nature de la mission" error="Choisis « Habitude recommandée » ou « Obligation »." sqref="E8:E47">
      <formula1>"Habitude recommandée,Obligation"</formula1>
    </dataValidation>
    <dataValidation type="whole" allowBlank="1" showErrorMessage="1" errorTitle="Jour d'introduction" error="Indique le numéro du jour du challenge (1, 2, 3…)." sqref="C8:C47">
      <formula1>1</formula1>
      <formula2>400</formula2>
    </dataValidation>
  </dataValidations>
  <printOptions horizontalCentered="1"/>
  <pageMargins left="0.4" right="0.4" top="0.6" bottom="0.6" header="0.3" footer="0.3"/>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dimension ref="B1:L49"/>
  <sheetViews>
    <sheetView showGridLines="0" zoomScaleNormal="100" workbookViewId="0"/>
  </sheetViews>
  <sheetFormatPr baseColWidth="10" defaultColWidth="8.7109375" defaultRowHeight="15"/>
  <cols>
    <col min="2" max="2" width="42" customWidth="1"/>
  </cols>
  <sheetData>
    <row r="1" spans="2:12" ht="25.5">
      <c r="B1" s="20" t="s">
        <v>196</v>
      </c>
    </row>
    <row r="2" spans="2:12">
      <c r="E2" t="s">
        <v>197</v>
      </c>
      <c r="F2" t="s">
        <v>198</v>
      </c>
      <c r="G2" t="s">
        <v>199</v>
      </c>
      <c r="H2" t="s">
        <v>200</v>
      </c>
      <c r="I2" t="s">
        <v>201</v>
      </c>
      <c r="J2" t="s">
        <v>202</v>
      </c>
      <c r="K2" t="s">
        <v>203</v>
      </c>
      <c r="L2" t="s">
        <v>148</v>
      </c>
    </row>
    <row r="3" spans="2:12">
      <c r="B3" s="39" t="s">
        <v>204</v>
      </c>
      <c r="E3" s="50">
        <f>SUMPRODUCT(('MON SUIVI QUOTIDIEN'!E$28:E$67="Fait")*('MON SUIVI QUOTIDIEN'!$E$22&gt;='MON SUIVI QUOTIDIEN'!$C$28:$C$67)*('MON SUIVI QUOTIDIEN'!$C$28:$C$67&lt;&gt;""))</f>
        <v>0</v>
      </c>
      <c r="F3" s="50">
        <f>SUMPRODUCT(('MON SUIVI QUOTIDIEN'!F$28:F$67="Fait")*('MON SUIVI QUOTIDIEN'!$F$22&gt;='MON SUIVI QUOTIDIEN'!$C$28:$C$67)*('MON SUIVI QUOTIDIEN'!$C$28:$C$67&lt;&gt;""))</f>
        <v>0</v>
      </c>
      <c r="G3" s="50">
        <f>SUMPRODUCT(('MON SUIVI QUOTIDIEN'!G$28:G$67="Fait")*('MON SUIVI QUOTIDIEN'!$G$22&gt;='MON SUIVI QUOTIDIEN'!$C$28:$C$67)*('MON SUIVI QUOTIDIEN'!$C$28:$C$67&lt;&gt;""))</f>
        <v>0</v>
      </c>
      <c r="H3" s="50">
        <f>SUMPRODUCT(('MON SUIVI QUOTIDIEN'!H$28:H$67="Fait")*('MON SUIVI QUOTIDIEN'!$H$22&gt;='MON SUIVI QUOTIDIEN'!$C$28:$C$67)*('MON SUIVI QUOTIDIEN'!$C$28:$C$67&lt;&gt;""))</f>
        <v>0</v>
      </c>
      <c r="I3" s="50">
        <f>SUMPRODUCT(('MON SUIVI QUOTIDIEN'!I$28:I$67="Fait")*('MON SUIVI QUOTIDIEN'!$I$22&gt;='MON SUIVI QUOTIDIEN'!$C$28:$C$67)*('MON SUIVI QUOTIDIEN'!$C$28:$C$67&lt;&gt;""))</f>
        <v>0</v>
      </c>
      <c r="J3" s="50">
        <f>SUMPRODUCT(('MON SUIVI QUOTIDIEN'!J$28:J$67="Fait")*('MON SUIVI QUOTIDIEN'!$J$22&gt;='MON SUIVI QUOTIDIEN'!$C$28:$C$67)*('MON SUIVI QUOTIDIEN'!$C$28:$C$67&lt;&gt;""))</f>
        <v>0</v>
      </c>
      <c r="K3" s="50">
        <f>SUMPRODUCT(('MON SUIVI QUOTIDIEN'!K$28:K$67="Fait")*('MON SUIVI QUOTIDIEN'!$K$22&gt;='MON SUIVI QUOTIDIEN'!$C$28:$C$67)*('MON SUIVI QUOTIDIEN'!$C$28:$C$67&lt;&gt;""))</f>
        <v>0</v>
      </c>
      <c r="L3" s="50">
        <f>SUM(E3:K3)</f>
        <v>0</v>
      </c>
    </row>
    <row r="4" spans="2:12">
      <c r="B4" s="39" t="s">
        <v>205</v>
      </c>
      <c r="E4" s="50">
        <f>SUMPRODUCT(('MON SUIVI QUOTIDIEN'!E$28:E$67="Pas fait")*('MON SUIVI QUOTIDIEN'!$E$22&gt;='MON SUIVI QUOTIDIEN'!$C$28:$C$67)*('MON SUIVI QUOTIDIEN'!$C$28:$C$67&lt;&gt;""))</f>
        <v>0</v>
      </c>
      <c r="F4" s="50">
        <f>SUMPRODUCT(('MON SUIVI QUOTIDIEN'!F$28:F$67="Pas fait")*('MON SUIVI QUOTIDIEN'!$F$22&gt;='MON SUIVI QUOTIDIEN'!$C$28:$C$67)*('MON SUIVI QUOTIDIEN'!$C$28:$C$67&lt;&gt;""))</f>
        <v>0</v>
      </c>
      <c r="G4" s="50">
        <f>SUMPRODUCT(('MON SUIVI QUOTIDIEN'!G$28:G$67="Pas fait")*('MON SUIVI QUOTIDIEN'!$G$22&gt;='MON SUIVI QUOTIDIEN'!$C$28:$C$67)*('MON SUIVI QUOTIDIEN'!$C$28:$C$67&lt;&gt;""))</f>
        <v>0</v>
      </c>
      <c r="H4" s="50">
        <f>SUMPRODUCT(('MON SUIVI QUOTIDIEN'!H$28:H$67="Pas fait")*('MON SUIVI QUOTIDIEN'!$H$22&gt;='MON SUIVI QUOTIDIEN'!$C$28:$C$67)*('MON SUIVI QUOTIDIEN'!$C$28:$C$67&lt;&gt;""))</f>
        <v>0</v>
      </c>
      <c r="I4" s="50">
        <f>SUMPRODUCT(('MON SUIVI QUOTIDIEN'!I$28:I$67="Pas fait")*('MON SUIVI QUOTIDIEN'!$I$22&gt;='MON SUIVI QUOTIDIEN'!$C$28:$C$67)*('MON SUIVI QUOTIDIEN'!$C$28:$C$67&lt;&gt;""))</f>
        <v>0</v>
      </c>
      <c r="J4" s="50">
        <f>SUMPRODUCT(('MON SUIVI QUOTIDIEN'!J$28:J$67="Pas fait")*('MON SUIVI QUOTIDIEN'!$J$22&gt;='MON SUIVI QUOTIDIEN'!$C$28:$C$67)*('MON SUIVI QUOTIDIEN'!$C$28:$C$67&lt;&gt;""))</f>
        <v>0</v>
      </c>
      <c r="K4" s="50">
        <f>SUMPRODUCT(('MON SUIVI QUOTIDIEN'!K$28:K$67="Pas fait")*('MON SUIVI QUOTIDIEN'!$K$22&gt;='MON SUIVI QUOTIDIEN'!$C$28:$C$67)*('MON SUIVI QUOTIDIEN'!$C$28:$C$67&lt;&gt;""))</f>
        <v>0</v>
      </c>
      <c r="L4" s="50">
        <f>SUM(E4:K4)</f>
        <v>0</v>
      </c>
    </row>
    <row r="5" spans="2:12">
      <c r="B5" s="39" t="s">
        <v>206</v>
      </c>
      <c r="E5" s="50">
        <f>SUMPRODUCT(('MON SUIVI QUOTIDIEN'!E$28:E$67="N/A")*('MON SUIVI QUOTIDIEN'!$E$22&gt;='MON SUIVI QUOTIDIEN'!$C$28:$C$67)*('MON SUIVI QUOTIDIEN'!$C$28:$C$67&lt;&gt;""))</f>
        <v>0</v>
      </c>
      <c r="F5" s="50">
        <f>SUMPRODUCT(('MON SUIVI QUOTIDIEN'!F$28:F$67="N/A")*('MON SUIVI QUOTIDIEN'!$F$22&gt;='MON SUIVI QUOTIDIEN'!$C$28:$C$67)*('MON SUIVI QUOTIDIEN'!$C$28:$C$67&lt;&gt;""))</f>
        <v>0</v>
      </c>
      <c r="G5" s="50">
        <f>SUMPRODUCT(('MON SUIVI QUOTIDIEN'!G$28:G$67="N/A")*('MON SUIVI QUOTIDIEN'!$G$22&gt;='MON SUIVI QUOTIDIEN'!$C$28:$C$67)*('MON SUIVI QUOTIDIEN'!$C$28:$C$67&lt;&gt;""))</f>
        <v>0</v>
      </c>
      <c r="H5" s="50">
        <f>SUMPRODUCT(('MON SUIVI QUOTIDIEN'!H$28:H$67="N/A")*('MON SUIVI QUOTIDIEN'!$H$22&gt;='MON SUIVI QUOTIDIEN'!$C$28:$C$67)*('MON SUIVI QUOTIDIEN'!$C$28:$C$67&lt;&gt;""))</f>
        <v>0</v>
      </c>
      <c r="I5" s="50">
        <f>SUMPRODUCT(('MON SUIVI QUOTIDIEN'!I$28:I$67="N/A")*('MON SUIVI QUOTIDIEN'!$I$22&gt;='MON SUIVI QUOTIDIEN'!$C$28:$C$67)*('MON SUIVI QUOTIDIEN'!$C$28:$C$67&lt;&gt;""))</f>
        <v>0</v>
      </c>
      <c r="J5" s="50">
        <f>SUMPRODUCT(('MON SUIVI QUOTIDIEN'!J$28:J$67="N/A")*('MON SUIVI QUOTIDIEN'!$J$22&gt;='MON SUIVI QUOTIDIEN'!$C$28:$C$67)*('MON SUIVI QUOTIDIEN'!$C$28:$C$67&lt;&gt;""))</f>
        <v>0</v>
      </c>
      <c r="K5" s="50">
        <f>SUMPRODUCT(('MON SUIVI QUOTIDIEN'!K$28:K$67="N/A")*('MON SUIVI QUOTIDIEN'!$K$22&gt;='MON SUIVI QUOTIDIEN'!$C$28:$C$67)*('MON SUIVI QUOTIDIEN'!$C$28:$C$67&lt;&gt;""))</f>
        <v>0</v>
      </c>
      <c r="L5" s="50">
        <f>SUM(E5:K5)</f>
        <v>0</v>
      </c>
    </row>
    <row r="6" spans="2:12">
      <c r="B6" s="39" t="s">
        <v>207</v>
      </c>
      <c r="E6" s="50">
        <f t="shared" ref="E6:K6" si="0">E3+E4+E5</f>
        <v>0</v>
      </c>
      <c r="F6" s="50">
        <f t="shared" si="0"/>
        <v>0</v>
      </c>
      <c r="G6" s="50">
        <f t="shared" si="0"/>
        <v>0</v>
      </c>
      <c r="H6" s="50">
        <f t="shared" si="0"/>
        <v>0</v>
      </c>
      <c r="I6" s="50">
        <f t="shared" si="0"/>
        <v>0</v>
      </c>
      <c r="J6" s="50">
        <f t="shared" si="0"/>
        <v>0</v>
      </c>
      <c r="K6" s="50">
        <f t="shared" si="0"/>
        <v>0</v>
      </c>
      <c r="L6" s="50">
        <f>COUNTIF(E6:K6,"&gt;0")</f>
        <v>0</v>
      </c>
    </row>
    <row r="7" spans="2:12">
      <c r="B7" s="39" t="s">
        <v>208</v>
      </c>
      <c r="E7" t="str">
        <f t="shared" ref="E7:L7" si="1">IF(E3+E4=0,"",E3/(E3+E4))</f>
        <v/>
      </c>
      <c r="F7" t="str">
        <f t="shared" si="1"/>
        <v/>
      </c>
      <c r="G7" t="str">
        <f t="shared" si="1"/>
        <v/>
      </c>
      <c r="H7" t="str">
        <f t="shared" si="1"/>
        <v/>
      </c>
      <c r="I7" t="str">
        <f t="shared" si="1"/>
        <v/>
      </c>
      <c r="J7" t="str">
        <f t="shared" si="1"/>
        <v/>
      </c>
      <c r="K7" t="str">
        <f t="shared" si="1"/>
        <v/>
      </c>
      <c r="L7" t="str">
        <f t="shared" si="1"/>
        <v/>
      </c>
    </row>
    <row r="9" spans="2:12">
      <c r="B9" s="39" t="s">
        <v>209</v>
      </c>
      <c r="E9" t="str">
        <f>IF(OR('MON SUIVI QUOTIDIEN'!E72="",'MON SUIVI QUOTIDIEN'!$C$12&lt;=0),"",MIN(1,'MON SUIVI QUOTIDIEN'!E72/'MON SUIVI QUOTIDIEN'!$C$12))</f>
        <v/>
      </c>
      <c r="F9" t="str">
        <f>IF(OR('MON SUIVI QUOTIDIEN'!F72="",'MON SUIVI QUOTIDIEN'!$C$12&lt;=0),"",MIN(1,'MON SUIVI QUOTIDIEN'!F72/'MON SUIVI QUOTIDIEN'!$C$12))</f>
        <v/>
      </c>
      <c r="G9" t="str">
        <f>IF(OR('MON SUIVI QUOTIDIEN'!G72="",'MON SUIVI QUOTIDIEN'!$C$12&lt;=0),"",MIN(1,'MON SUIVI QUOTIDIEN'!G72/'MON SUIVI QUOTIDIEN'!$C$12))</f>
        <v/>
      </c>
      <c r="H9" t="str">
        <f>IF(OR('MON SUIVI QUOTIDIEN'!H72="",'MON SUIVI QUOTIDIEN'!$C$12&lt;=0),"",MIN(1,'MON SUIVI QUOTIDIEN'!H72/'MON SUIVI QUOTIDIEN'!$C$12))</f>
        <v/>
      </c>
      <c r="I9" t="str">
        <f>IF(OR('MON SUIVI QUOTIDIEN'!I72="",'MON SUIVI QUOTIDIEN'!$C$12&lt;=0),"",MIN(1,'MON SUIVI QUOTIDIEN'!I72/'MON SUIVI QUOTIDIEN'!$C$12))</f>
        <v/>
      </c>
      <c r="J9" t="str">
        <f>IF(OR('MON SUIVI QUOTIDIEN'!J72="",'MON SUIVI QUOTIDIEN'!$C$12&lt;=0),"",MIN(1,'MON SUIVI QUOTIDIEN'!J72/'MON SUIVI QUOTIDIEN'!$C$12))</f>
        <v/>
      </c>
      <c r="K9" t="str">
        <f>IF(OR('MON SUIVI QUOTIDIEN'!K72="",'MON SUIVI QUOTIDIEN'!$C$12&lt;=0),"",MIN(1,'MON SUIVI QUOTIDIEN'!K72/'MON SUIVI QUOTIDIEN'!$C$12))</f>
        <v/>
      </c>
      <c r="L9" t="str">
        <f>IF(COUNT(E9:K9)=0,"",AVERAGE(E9:K9))</f>
        <v/>
      </c>
    </row>
    <row r="10" spans="2:12">
      <c r="B10" s="39" t="s">
        <v>210</v>
      </c>
      <c r="E10" t="str">
        <f>IF(OR('MON SUIVI QUOTIDIEN'!E74="",'MON SUIVI QUOTIDIEN'!$C$13&lt;=0),"",MIN(1,'MON SUIVI QUOTIDIEN'!E74/'MON SUIVI QUOTIDIEN'!$C$13))</f>
        <v/>
      </c>
      <c r="F10" t="str">
        <f>IF(OR('MON SUIVI QUOTIDIEN'!F74="",'MON SUIVI QUOTIDIEN'!$C$13&lt;=0),"",MIN(1,'MON SUIVI QUOTIDIEN'!F74/'MON SUIVI QUOTIDIEN'!$C$13))</f>
        <v/>
      </c>
      <c r="G10" t="str">
        <f>IF(OR('MON SUIVI QUOTIDIEN'!G74="",'MON SUIVI QUOTIDIEN'!$C$13&lt;=0),"",MIN(1,'MON SUIVI QUOTIDIEN'!G74/'MON SUIVI QUOTIDIEN'!$C$13))</f>
        <v/>
      </c>
      <c r="H10" t="str">
        <f>IF(OR('MON SUIVI QUOTIDIEN'!H74="",'MON SUIVI QUOTIDIEN'!$C$13&lt;=0),"",MIN(1,'MON SUIVI QUOTIDIEN'!H74/'MON SUIVI QUOTIDIEN'!$C$13))</f>
        <v/>
      </c>
      <c r="I10" t="str">
        <f>IF(OR('MON SUIVI QUOTIDIEN'!I74="",'MON SUIVI QUOTIDIEN'!$C$13&lt;=0),"",MIN(1,'MON SUIVI QUOTIDIEN'!I74/'MON SUIVI QUOTIDIEN'!$C$13))</f>
        <v/>
      </c>
      <c r="J10" t="str">
        <f>IF(OR('MON SUIVI QUOTIDIEN'!J74="",'MON SUIVI QUOTIDIEN'!$C$13&lt;=0),"",MIN(1,'MON SUIVI QUOTIDIEN'!J74/'MON SUIVI QUOTIDIEN'!$C$13))</f>
        <v/>
      </c>
      <c r="K10" t="str">
        <f>IF(OR('MON SUIVI QUOTIDIEN'!K74="",'MON SUIVI QUOTIDIEN'!$C$13&lt;=0),"",MIN(1,'MON SUIVI QUOTIDIEN'!K74/'MON SUIVI QUOTIDIEN'!$C$13))</f>
        <v/>
      </c>
      <c r="L10" t="str">
        <f>IF(COUNT(E10:K10)=0,"",AVERAGE(E10:K10))</f>
        <v/>
      </c>
    </row>
    <row r="11" spans="2:12">
      <c r="B11" s="39" t="s">
        <v>211</v>
      </c>
      <c r="E11" t="str">
        <f>IF('MON SUIVI QUOTIDIEN'!E75="Oui",1,IF('MON SUIVI QUOTIDIEN'!E75="Non",0,""))</f>
        <v/>
      </c>
      <c r="F11" t="str">
        <f>IF('MON SUIVI QUOTIDIEN'!F75="Oui",1,IF('MON SUIVI QUOTIDIEN'!F75="Non",0,""))</f>
        <v/>
      </c>
      <c r="G11" t="str">
        <f>IF('MON SUIVI QUOTIDIEN'!G75="Oui",1,IF('MON SUIVI QUOTIDIEN'!G75="Non",0,""))</f>
        <v/>
      </c>
      <c r="H11" t="str">
        <f>IF('MON SUIVI QUOTIDIEN'!H75="Oui",1,IF('MON SUIVI QUOTIDIEN'!H75="Non",0,""))</f>
        <v/>
      </c>
      <c r="I11" t="str">
        <f>IF('MON SUIVI QUOTIDIEN'!I75="Oui",1,IF('MON SUIVI QUOTIDIEN'!I75="Non",0,""))</f>
        <v/>
      </c>
      <c r="J11" t="str">
        <f>IF('MON SUIVI QUOTIDIEN'!J75="Oui",1,IF('MON SUIVI QUOTIDIEN'!J75="Non",0,""))</f>
        <v/>
      </c>
      <c r="K11" t="str">
        <f>IF('MON SUIVI QUOTIDIEN'!K75="Oui",1,IF('MON SUIVI QUOTIDIEN'!K75="Non",0,""))</f>
        <v/>
      </c>
      <c r="L11" t="str">
        <f>IF(COUNT(E11:K11)=0,"",AVERAGE(E11:K11))</f>
        <v/>
      </c>
    </row>
    <row r="12" spans="2:12">
      <c r="B12" s="39" t="s">
        <v>212</v>
      </c>
      <c r="E12" s="50">
        <f>IF(COUNTA('MON SUIVI QUOTIDIEN'!E72,'MON SUIVI QUOTIDIEN'!E74,'MON SUIVI QUOTIDIEN'!E75)&gt;0,1,0)</f>
        <v>0</v>
      </c>
      <c r="F12" s="50">
        <f>IF(COUNTA('MON SUIVI QUOTIDIEN'!F72,'MON SUIVI QUOTIDIEN'!F74,'MON SUIVI QUOTIDIEN'!F75)&gt;0,1,0)</f>
        <v>0</v>
      </c>
      <c r="G12" s="50">
        <f>IF(COUNTA('MON SUIVI QUOTIDIEN'!G72,'MON SUIVI QUOTIDIEN'!G74,'MON SUIVI QUOTIDIEN'!G75)&gt;0,1,0)</f>
        <v>0</v>
      </c>
      <c r="H12" s="50">
        <f>IF(COUNTA('MON SUIVI QUOTIDIEN'!H72,'MON SUIVI QUOTIDIEN'!H74,'MON SUIVI QUOTIDIEN'!H75)&gt;0,1,0)</f>
        <v>0</v>
      </c>
      <c r="I12" s="50">
        <f>IF(COUNTA('MON SUIVI QUOTIDIEN'!I72,'MON SUIVI QUOTIDIEN'!I74,'MON SUIVI QUOTIDIEN'!I75)&gt;0,1,0)</f>
        <v>0</v>
      </c>
      <c r="J12" s="50">
        <f>IF(COUNTA('MON SUIVI QUOTIDIEN'!J72,'MON SUIVI QUOTIDIEN'!J74,'MON SUIVI QUOTIDIEN'!J75)&gt;0,1,0)</f>
        <v>0</v>
      </c>
      <c r="K12" s="50">
        <f>IF(COUNTA('MON SUIVI QUOTIDIEN'!K72,'MON SUIVI QUOTIDIEN'!K74,'MON SUIVI QUOTIDIEN'!K75)&gt;0,1,0)</f>
        <v>0</v>
      </c>
      <c r="L12" s="50">
        <f>SUM(E12:K12)</f>
        <v>0</v>
      </c>
    </row>
    <row r="13" spans="2:12">
      <c r="B13" s="39" t="s">
        <v>213</v>
      </c>
      <c r="E13" t="str">
        <f t="shared" ref="E13:L13" si="2">IF(COUNT(E9:E11)=0,"",AVERAGE(E9:E11))</f>
        <v/>
      </c>
      <c r="F13" t="str">
        <f t="shared" si="2"/>
        <v/>
      </c>
      <c r="G13" t="str">
        <f t="shared" si="2"/>
        <v/>
      </c>
      <c r="H13" t="str">
        <f t="shared" si="2"/>
        <v/>
      </c>
      <c r="I13" t="str">
        <f t="shared" si="2"/>
        <v/>
      </c>
      <c r="J13" t="str">
        <f t="shared" si="2"/>
        <v/>
      </c>
      <c r="K13" t="str">
        <f t="shared" si="2"/>
        <v/>
      </c>
      <c r="L13" t="str">
        <f t="shared" si="2"/>
        <v/>
      </c>
    </row>
    <row r="15" spans="2:12">
      <c r="B15" s="39" t="s">
        <v>214</v>
      </c>
      <c r="E15" t="str">
        <f>IF(OR('MON SUIVI QUOTIDIEN'!E80="",'MON SUIVI QUOTIDIEN'!$C$14&lt;=0),"",MIN(1,'MON SUIVI QUOTIDIEN'!E80/'MON SUIVI QUOTIDIEN'!$C$14))</f>
        <v/>
      </c>
      <c r="F15" t="str">
        <f>IF(OR('MON SUIVI QUOTIDIEN'!F80="",'MON SUIVI QUOTIDIEN'!$C$14&lt;=0),"",MIN(1,'MON SUIVI QUOTIDIEN'!F80/'MON SUIVI QUOTIDIEN'!$C$14))</f>
        <v/>
      </c>
      <c r="G15" t="str">
        <f>IF(OR('MON SUIVI QUOTIDIEN'!G80="",'MON SUIVI QUOTIDIEN'!$C$14&lt;=0),"",MIN(1,'MON SUIVI QUOTIDIEN'!G80/'MON SUIVI QUOTIDIEN'!$C$14))</f>
        <v/>
      </c>
      <c r="H15" t="str">
        <f>IF(OR('MON SUIVI QUOTIDIEN'!H80="",'MON SUIVI QUOTIDIEN'!$C$14&lt;=0),"",MIN(1,'MON SUIVI QUOTIDIEN'!H80/'MON SUIVI QUOTIDIEN'!$C$14))</f>
        <v/>
      </c>
      <c r="I15" t="str">
        <f>IF(OR('MON SUIVI QUOTIDIEN'!I80="",'MON SUIVI QUOTIDIEN'!$C$14&lt;=0),"",MIN(1,'MON SUIVI QUOTIDIEN'!I80/'MON SUIVI QUOTIDIEN'!$C$14))</f>
        <v/>
      </c>
      <c r="J15" t="str">
        <f>IF(OR('MON SUIVI QUOTIDIEN'!J80="",'MON SUIVI QUOTIDIEN'!$C$14&lt;=0),"",MIN(1,'MON SUIVI QUOTIDIEN'!J80/'MON SUIVI QUOTIDIEN'!$C$14))</f>
        <v/>
      </c>
      <c r="K15" t="str">
        <f>IF(OR('MON SUIVI QUOTIDIEN'!K80="",'MON SUIVI QUOTIDIEN'!$C$14&lt;=0),"",MIN(1,'MON SUIVI QUOTIDIEN'!K80/'MON SUIVI QUOTIDIEN'!$C$14))</f>
        <v/>
      </c>
      <c r="L15" t="str">
        <f>IF(COUNT(E15:K15)=0,"",AVERAGE(E15:K15))</f>
        <v/>
      </c>
    </row>
    <row r="16" spans="2:12">
      <c r="B16" s="39" t="s">
        <v>215</v>
      </c>
      <c r="E16" t="str">
        <f>IF('MON SUIVI QUOTIDIEN'!E81="","",IF(MIN(ABS(MOD('MON SUIVI QUOTIDIEN'!E81,1)-MOD('MON SUIVI QUOTIDIEN'!$C$15,1)),1-ABS(MOD('MON SUIVI QUOTIDIEN'!E81,1)-MOD('MON SUIVI QUOTIDIEN'!$C$15,1)))*1440&lt;='MON SUIVI QUOTIDIEN'!$C$16+0.01,1,0))</f>
        <v/>
      </c>
      <c r="F16" t="str">
        <f>IF('MON SUIVI QUOTIDIEN'!F81="","",IF(MIN(ABS(MOD('MON SUIVI QUOTIDIEN'!F81,1)-MOD('MON SUIVI QUOTIDIEN'!$C$15,1)),1-ABS(MOD('MON SUIVI QUOTIDIEN'!F81,1)-MOD('MON SUIVI QUOTIDIEN'!$C$15,1)))*1440&lt;='MON SUIVI QUOTIDIEN'!$C$16+0.01,1,0))</f>
        <v/>
      </c>
      <c r="G16" t="str">
        <f>IF('MON SUIVI QUOTIDIEN'!G81="","",IF(MIN(ABS(MOD('MON SUIVI QUOTIDIEN'!G81,1)-MOD('MON SUIVI QUOTIDIEN'!$C$15,1)),1-ABS(MOD('MON SUIVI QUOTIDIEN'!G81,1)-MOD('MON SUIVI QUOTIDIEN'!$C$15,1)))*1440&lt;='MON SUIVI QUOTIDIEN'!$C$16+0.01,1,0))</f>
        <v/>
      </c>
      <c r="H16" t="str">
        <f>IF('MON SUIVI QUOTIDIEN'!H81="","",IF(MIN(ABS(MOD('MON SUIVI QUOTIDIEN'!H81,1)-MOD('MON SUIVI QUOTIDIEN'!$C$15,1)),1-ABS(MOD('MON SUIVI QUOTIDIEN'!H81,1)-MOD('MON SUIVI QUOTIDIEN'!$C$15,1)))*1440&lt;='MON SUIVI QUOTIDIEN'!$C$16+0.01,1,0))</f>
        <v/>
      </c>
      <c r="I16" t="str">
        <f>IF('MON SUIVI QUOTIDIEN'!I81="","",IF(MIN(ABS(MOD('MON SUIVI QUOTIDIEN'!I81,1)-MOD('MON SUIVI QUOTIDIEN'!$C$15,1)),1-ABS(MOD('MON SUIVI QUOTIDIEN'!I81,1)-MOD('MON SUIVI QUOTIDIEN'!$C$15,1)))*1440&lt;='MON SUIVI QUOTIDIEN'!$C$16+0.01,1,0))</f>
        <v/>
      </c>
      <c r="J16" t="str">
        <f>IF('MON SUIVI QUOTIDIEN'!J81="","",IF(MIN(ABS(MOD('MON SUIVI QUOTIDIEN'!J81,1)-MOD('MON SUIVI QUOTIDIEN'!$C$15,1)),1-ABS(MOD('MON SUIVI QUOTIDIEN'!J81,1)-MOD('MON SUIVI QUOTIDIEN'!$C$15,1)))*1440&lt;='MON SUIVI QUOTIDIEN'!$C$16+0.01,1,0))</f>
        <v/>
      </c>
      <c r="K16" t="str">
        <f>IF('MON SUIVI QUOTIDIEN'!K81="","",IF(MIN(ABS(MOD('MON SUIVI QUOTIDIEN'!K81,1)-MOD('MON SUIVI QUOTIDIEN'!$C$15,1)),1-ABS(MOD('MON SUIVI QUOTIDIEN'!K81,1)-MOD('MON SUIVI QUOTIDIEN'!$C$15,1)))*1440&lt;='MON SUIVI QUOTIDIEN'!$C$16+0.01,1,0))</f>
        <v/>
      </c>
      <c r="L16" t="str">
        <f>IF(COUNT(E16:K16)=0,"",AVERAGE(E16:K16))</f>
        <v/>
      </c>
    </row>
    <row r="17" spans="2:12">
      <c r="B17" s="39" t="s">
        <v>216</v>
      </c>
      <c r="E17" t="str">
        <f>IF('MON SUIVI QUOTIDIEN'!E83="Oui",1,IF('MON SUIVI QUOTIDIEN'!E83="Non",0,""))</f>
        <v/>
      </c>
      <c r="F17" t="str">
        <f>IF('MON SUIVI QUOTIDIEN'!F83="Oui",1,IF('MON SUIVI QUOTIDIEN'!F83="Non",0,""))</f>
        <v/>
      </c>
      <c r="G17" t="str">
        <f>IF('MON SUIVI QUOTIDIEN'!G83="Oui",1,IF('MON SUIVI QUOTIDIEN'!G83="Non",0,""))</f>
        <v/>
      </c>
      <c r="H17" t="str">
        <f>IF('MON SUIVI QUOTIDIEN'!H83="Oui",1,IF('MON SUIVI QUOTIDIEN'!H83="Non",0,""))</f>
        <v/>
      </c>
      <c r="I17" t="str">
        <f>IF('MON SUIVI QUOTIDIEN'!I83="Oui",1,IF('MON SUIVI QUOTIDIEN'!I83="Non",0,""))</f>
        <v/>
      </c>
      <c r="J17" t="str">
        <f>IF('MON SUIVI QUOTIDIEN'!J83="Oui",1,IF('MON SUIVI QUOTIDIEN'!J83="Non",0,""))</f>
        <v/>
      </c>
      <c r="K17" t="str">
        <f>IF('MON SUIVI QUOTIDIEN'!K83="Oui",1,IF('MON SUIVI QUOTIDIEN'!K83="Non",0,""))</f>
        <v/>
      </c>
      <c r="L17" t="str">
        <f>IF(COUNT(E17:K17)=0,"",AVERAGE(E17:K17))</f>
        <v/>
      </c>
    </row>
    <row r="18" spans="2:12">
      <c r="B18" s="39" t="s">
        <v>217</v>
      </c>
      <c r="E18" s="50">
        <f>IF(COUNTA('MON SUIVI QUOTIDIEN'!E80,'MON SUIVI QUOTIDIEN'!E81,'MON SUIVI QUOTIDIEN'!E83)&gt;0,1,0)</f>
        <v>0</v>
      </c>
      <c r="F18" s="50">
        <f>IF(COUNTA('MON SUIVI QUOTIDIEN'!F80,'MON SUIVI QUOTIDIEN'!F81,'MON SUIVI QUOTIDIEN'!F83)&gt;0,1,0)</f>
        <v>0</v>
      </c>
      <c r="G18" s="50">
        <f>IF(COUNTA('MON SUIVI QUOTIDIEN'!G80,'MON SUIVI QUOTIDIEN'!G81,'MON SUIVI QUOTIDIEN'!G83)&gt;0,1,0)</f>
        <v>0</v>
      </c>
      <c r="H18" s="50">
        <f>IF(COUNTA('MON SUIVI QUOTIDIEN'!H80,'MON SUIVI QUOTIDIEN'!H81,'MON SUIVI QUOTIDIEN'!H83)&gt;0,1,0)</f>
        <v>0</v>
      </c>
      <c r="I18" s="50">
        <f>IF(COUNTA('MON SUIVI QUOTIDIEN'!I80,'MON SUIVI QUOTIDIEN'!I81,'MON SUIVI QUOTIDIEN'!I83)&gt;0,1,0)</f>
        <v>0</v>
      </c>
      <c r="J18" s="50">
        <f>IF(COUNTA('MON SUIVI QUOTIDIEN'!J80,'MON SUIVI QUOTIDIEN'!J81,'MON SUIVI QUOTIDIEN'!J83)&gt;0,1,0)</f>
        <v>0</v>
      </c>
      <c r="K18" s="50">
        <f>IF(COUNTA('MON SUIVI QUOTIDIEN'!K80,'MON SUIVI QUOTIDIEN'!K81,'MON SUIVI QUOTIDIEN'!K83)&gt;0,1,0)</f>
        <v>0</v>
      </c>
      <c r="L18" s="50">
        <f>SUM(E18:K18)</f>
        <v>0</v>
      </c>
    </row>
    <row r="19" spans="2:12">
      <c r="B19" s="39" t="s">
        <v>218</v>
      </c>
      <c r="E19" t="str">
        <f t="shared" ref="E19:L19" si="3">IF(COUNT(E15:E17)=0,"",AVERAGE(E15:E17))</f>
        <v/>
      </c>
      <c r="F19" t="str">
        <f t="shared" si="3"/>
        <v/>
      </c>
      <c r="G19" t="str">
        <f t="shared" si="3"/>
        <v/>
      </c>
      <c r="H19" t="str">
        <f t="shared" si="3"/>
        <v/>
      </c>
      <c r="I19" t="str">
        <f t="shared" si="3"/>
        <v/>
      </c>
      <c r="J19" t="str">
        <f t="shared" si="3"/>
        <v/>
      </c>
      <c r="K19" t="str">
        <f t="shared" si="3"/>
        <v/>
      </c>
      <c r="L19" t="str">
        <f t="shared" si="3"/>
        <v/>
      </c>
    </row>
    <row r="21" spans="2:12">
      <c r="B21" s="39" t="s">
        <v>219</v>
      </c>
      <c r="E21" t="str">
        <f>IF(OR('MON SUIVI QUOTIDIEN'!E88="",'MON SUIVI QUOTIDIEN'!$C$17&lt;=0),"",MIN(1,'MON SUIVI QUOTIDIEN'!E88/'MON SUIVI QUOTIDIEN'!$C$17))</f>
        <v/>
      </c>
      <c r="F21" t="str">
        <f>IF(OR('MON SUIVI QUOTIDIEN'!F88="",'MON SUIVI QUOTIDIEN'!$C$17&lt;=0),"",MIN(1,'MON SUIVI QUOTIDIEN'!F88/'MON SUIVI QUOTIDIEN'!$C$17))</f>
        <v/>
      </c>
      <c r="G21" t="str">
        <f>IF(OR('MON SUIVI QUOTIDIEN'!G88="",'MON SUIVI QUOTIDIEN'!$C$17&lt;=0),"",MIN(1,'MON SUIVI QUOTIDIEN'!G88/'MON SUIVI QUOTIDIEN'!$C$17))</f>
        <v/>
      </c>
      <c r="H21" t="str">
        <f>IF(OR('MON SUIVI QUOTIDIEN'!H88="",'MON SUIVI QUOTIDIEN'!$C$17&lt;=0),"",MIN(1,'MON SUIVI QUOTIDIEN'!H88/'MON SUIVI QUOTIDIEN'!$C$17))</f>
        <v/>
      </c>
      <c r="I21" t="str">
        <f>IF(OR('MON SUIVI QUOTIDIEN'!I88="",'MON SUIVI QUOTIDIEN'!$C$17&lt;=0),"",MIN(1,'MON SUIVI QUOTIDIEN'!I88/'MON SUIVI QUOTIDIEN'!$C$17))</f>
        <v/>
      </c>
      <c r="J21" t="str">
        <f>IF(OR('MON SUIVI QUOTIDIEN'!J88="",'MON SUIVI QUOTIDIEN'!$C$17&lt;=0),"",MIN(1,'MON SUIVI QUOTIDIEN'!J88/'MON SUIVI QUOTIDIEN'!$C$17))</f>
        <v/>
      </c>
      <c r="K21" t="str">
        <f>IF(OR('MON SUIVI QUOTIDIEN'!K88="",'MON SUIVI QUOTIDIEN'!$C$17&lt;=0),"",MIN(1,'MON SUIVI QUOTIDIEN'!K88/'MON SUIVI QUOTIDIEN'!$C$17))</f>
        <v/>
      </c>
      <c r="L21" t="str">
        <f>IF(COUNT(E21:K21)=0,"",AVERAGE(E21:K21))</f>
        <v/>
      </c>
    </row>
    <row r="22" spans="2:12">
      <c r="B22" s="39" t="s">
        <v>220</v>
      </c>
      <c r="E22" t="str">
        <f>IF('MON SUIVI QUOTIDIEN'!E89&lt;&gt;"Oui","",IF('MON SUIVI QUOTIDIEN'!E90="Oui",1,IF('MON SUIVI QUOTIDIEN'!E90="Non",0,"")))</f>
        <v/>
      </c>
      <c r="F22" t="str">
        <f>IF('MON SUIVI QUOTIDIEN'!F89&lt;&gt;"Oui","",IF('MON SUIVI QUOTIDIEN'!F90="Oui",1,IF('MON SUIVI QUOTIDIEN'!F90="Non",0,"")))</f>
        <v/>
      </c>
      <c r="G22" t="str">
        <f>IF('MON SUIVI QUOTIDIEN'!G89&lt;&gt;"Oui","",IF('MON SUIVI QUOTIDIEN'!G90="Oui",1,IF('MON SUIVI QUOTIDIEN'!G90="Non",0,"")))</f>
        <v/>
      </c>
      <c r="H22" t="str">
        <f>IF('MON SUIVI QUOTIDIEN'!H89&lt;&gt;"Oui","",IF('MON SUIVI QUOTIDIEN'!H90="Oui",1,IF('MON SUIVI QUOTIDIEN'!H90="Non",0,"")))</f>
        <v/>
      </c>
      <c r="I22" t="str">
        <f>IF('MON SUIVI QUOTIDIEN'!I89&lt;&gt;"Oui","",IF('MON SUIVI QUOTIDIEN'!I90="Oui",1,IF('MON SUIVI QUOTIDIEN'!I90="Non",0,"")))</f>
        <v/>
      </c>
      <c r="J22" t="str">
        <f>IF('MON SUIVI QUOTIDIEN'!J89&lt;&gt;"Oui","",IF('MON SUIVI QUOTIDIEN'!J90="Oui",1,IF('MON SUIVI QUOTIDIEN'!J90="Non",0,"")))</f>
        <v/>
      </c>
      <c r="K22" t="str">
        <f>IF('MON SUIVI QUOTIDIEN'!K89&lt;&gt;"Oui","",IF('MON SUIVI QUOTIDIEN'!K90="Oui",1,IF('MON SUIVI QUOTIDIEN'!K90="Non",0,"")))</f>
        <v/>
      </c>
      <c r="L22" t="str">
        <f>IF(COUNT(E22:K22)=0,"",AVERAGE(E22:K22))</f>
        <v/>
      </c>
    </row>
    <row r="23" spans="2:12">
      <c r="B23" s="39" t="s">
        <v>221</v>
      </c>
      <c r="E23" s="50">
        <f>IF(OR(N('MON SUIVI QUOTIDIEN'!E88)&gt;0,'MON SUIVI QUOTIDIEN'!E90="Oui"),1,0)</f>
        <v>0</v>
      </c>
      <c r="F23" s="50">
        <f>IF(OR(N('MON SUIVI QUOTIDIEN'!F88)&gt;0,'MON SUIVI QUOTIDIEN'!F90="Oui"),1,0)</f>
        <v>0</v>
      </c>
      <c r="G23" s="50">
        <f>IF(OR(N('MON SUIVI QUOTIDIEN'!G88)&gt;0,'MON SUIVI QUOTIDIEN'!G90="Oui"),1,0)</f>
        <v>0</v>
      </c>
      <c r="H23" s="50">
        <f>IF(OR(N('MON SUIVI QUOTIDIEN'!H88)&gt;0,'MON SUIVI QUOTIDIEN'!H90="Oui"),1,0)</f>
        <v>0</v>
      </c>
      <c r="I23" s="50">
        <f>IF(OR(N('MON SUIVI QUOTIDIEN'!I88)&gt;0,'MON SUIVI QUOTIDIEN'!I90="Oui"),1,0)</f>
        <v>0</v>
      </c>
      <c r="J23" s="50">
        <f>IF(OR(N('MON SUIVI QUOTIDIEN'!J88)&gt;0,'MON SUIVI QUOTIDIEN'!J90="Oui"),1,0)</f>
        <v>0</v>
      </c>
      <c r="K23" s="50">
        <f>IF(OR(N('MON SUIVI QUOTIDIEN'!K88)&gt;0,'MON SUIVI QUOTIDIEN'!K90="Oui"),1,0)</f>
        <v>0</v>
      </c>
      <c r="L23" t="str">
        <f>IF(OR(L24=0,'MON SUIVI QUOTIDIEN'!$C$18&lt;=0),"",MIN(1,SUM(E23:K23)/'MON SUIVI QUOTIDIEN'!$C$18))</f>
        <v/>
      </c>
    </row>
    <row r="24" spans="2:12">
      <c r="B24" s="39" t="s">
        <v>222</v>
      </c>
      <c r="E24" s="50">
        <f>IF(COUNTA('MON SUIVI QUOTIDIEN'!E88,'MON SUIVI QUOTIDIEN'!E89,'MON SUIVI QUOTIDIEN'!E90)&gt;0,1,0)</f>
        <v>0</v>
      </c>
      <c r="F24" s="50">
        <f>IF(COUNTA('MON SUIVI QUOTIDIEN'!F88,'MON SUIVI QUOTIDIEN'!F89,'MON SUIVI QUOTIDIEN'!F90)&gt;0,1,0)</f>
        <v>0</v>
      </c>
      <c r="G24" s="50">
        <f>IF(COUNTA('MON SUIVI QUOTIDIEN'!G88,'MON SUIVI QUOTIDIEN'!G89,'MON SUIVI QUOTIDIEN'!G90)&gt;0,1,0)</f>
        <v>0</v>
      </c>
      <c r="H24" s="50">
        <f>IF(COUNTA('MON SUIVI QUOTIDIEN'!H88,'MON SUIVI QUOTIDIEN'!H89,'MON SUIVI QUOTIDIEN'!H90)&gt;0,1,0)</f>
        <v>0</v>
      </c>
      <c r="I24" s="50">
        <f>IF(COUNTA('MON SUIVI QUOTIDIEN'!I88,'MON SUIVI QUOTIDIEN'!I89,'MON SUIVI QUOTIDIEN'!I90)&gt;0,1,0)</f>
        <v>0</v>
      </c>
      <c r="J24" s="50">
        <f>IF(COUNTA('MON SUIVI QUOTIDIEN'!J88,'MON SUIVI QUOTIDIEN'!J89,'MON SUIVI QUOTIDIEN'!J90)&gt;0,1,0)</f>
        <v>0</v>
      </c>
      <c r="K24" s="50">
        <f>IF(COUNTA('MON SUIVI QUOTIDIEN'!K88,'MON SUIVI QUOTIDIEN'!K89,'MON SUIVI QUOTIDIEN'!K90)&gt;0,1,0)</f>
        <v>0</v>
      </c>
      <c r="L24" s="50">
        <f>SUM(E24:K24)</f>
        <v>0</v>
      </c>
    </row>
    <row r="25" spans="2:12">
      <c r="B25" s="39" t="s">
        <v>223</v>
      </c>
      <c r="E25" t="str">
        <f t="shared" ref="E25:K25" si="4">IF(COUNT(E21:E22)=0,"",AVERAGE(E21:E22))</f>
        <v/>
      </c>
      <c r="F25" t="str">
        <f t="shared" si="4"/>
        <v/>
      </c>
      <c r="G25" t="str">
        <f t="shared" si="4"/>
        <v/>
      </c>
      <c r="H25" t="str">
        <f t="shared" si="4"/>
        <v/>
      </c>
      <c r="I25" t="str">
        <f t="shared" si="4"/>
        <v/>
      </c>
      <c r="J25" t="str">
        <f t="shared" si="4"/>
        <v/>
      </c>
      <c r="K25" t="str">
        <f t="shared" si="4"/>
        <v/>
      </c>
      <c r="L25" t="str">
        <f>IF(COUNT(L21:L23)=0,"",AVERAGE(L21:L23))</f>
        <v/>
      </c>
    </row>
    <row r="27" spans="2:12">
      <c r="B27" s="39" t="s">
        <v>129</v>
      </c>
      <c r="L27" t="str">
        <f>IF(SUMPRODUCT(('MON SUIVI QUOTIDIEN'!$E$28:$K$67="Fait")*('MON SUIVI QUOTIDIEN'!$E$22:$K$22&gt;='MON SUIVI QUOTIDIEN'!$C$28:$C$67)*('MON SUIVI QUOTIDIEN'!$C$28:$C$67&lt;&gt;"")*('MON SUIVI QUOTIDIEN'!$D$28:$D$67="Oblig."))+SUMPRODUCT(('MON SUIVI QUOTIDIEN'!$E$28:$K$67="Pas fait")*('MON SUIVI QUOTIDIEN'!$E$22:$K$22&gt;='MON SUIVI QUOTIDIEN'!$C$28:$C$67)*('MON SUIVI QUOTIDIEN'!$C$28:$C$67&lt;&gt;"")*('MON SUIVI QUOTIDIEN'!$D$28:$D$67="Oblig."))=0,"",SUMPRODUCT(('MON SUIVI QUOTIDIEN'!$E$28:$K$67="Fait")*('MON SUIVI QUOTIDIEN'!$E$22:$K$22&gt;='MON SUIVI QUOTIDIEN'!$C$28:$C$67)*('MON SUIVI QUOTIDIEN'!$C$28:$C$67&lt;&gt;"")*('MON SUIVI QUOTIDIEN'!$D$28:$D$67="Oblig."))/(SUMPRODUCT(('MON SUIVI QUOTIDIEN'!$E$28:$K$67="Fait")*('MON SUIVI QUOTIDIEN'!$E$22:$K$22&gt;='MON SUIVI QUOTIDIEN'!$C$28:$C$67)*('MON SUIVI QUOTIDIEN'!$C$28:$C$67&lt;&gt;"")*('MON SUIVI QUOTIDIEN'!$D$28:$D$67="Oblig."))+SUMPRODUCT(('MON SUIVI QUOTIDIEN'!$E$28:$K$67="Pas fait")*('MON SUIVI QUOTIDIEN'!$E$22:$K$22&gt;='MON SUIVI QUOTIDIEN'!$C$28:$C$67)*('MON SUIVI QUOTIDIEN'!$C$28:$C$67&lt;&gt;"")*('MON SUIVI QUOTIDIEN'!$D$28:$D$67="Oblig."))))</f>
        <v/>
      </c>
    </row>
    <row r="28" spans="2:12">
      <c r="B28" s="39" t="s">
        <v>127</v>
      </c>
      <c r="L28" t="str">
        <f>IF(SUMPRODUCT(('MON SUIVI QUOTIDIEN'!$E$28:$K$67="Fait")*('MON SUIVI QUOTIDIEN'!$E$22:$K$22&gt;='MON SUIVI QUOTIDIEN'!$C$28:$C$67)*('MON SUIVI QUOTIDIEN'!$C$28:$C$67&lt;&gt;"")*('MON SUIVI QUOTIDIEN'!$D$28:$D$67="Recom."))+SUMPRODUCT(('MON SUIVI QUOTIDIEN'!$E$28:$K$67="Pas fait")*('MON SUIVI QUOTIDIEN'!$E$22:$K$22&gt;='MON SUIVI QUOTIDIEN'!$C$28:$C$67)*('MON SUIVI QUOTIDIEN'!$C$28:$C$67&lt;&gt;"")*('MON SUIVI QUOTIDIEN'!$D$28:$D$67="Recom."))=0,"",SUMPRODUCT(('MON SUIVI QUOTIDIEN'!$E$28:$K$67="Fait")*('MON SUIVI QUOTIDIEN'!$E$22:$K$22&gt;='MON SUIVI QUOTIDIEN'!$C$28:$C$67)*('MON SUIVI QUOTIDIEN'!$C$28:$C$67&lt;&gt;"")*('MON SUIVI QUOTIDIEN'!$D$28:$D$67="Recom."))/(SUMPRODUCT(('MON SUIVI QUOTIDIEN'!$E$28:$K$67="Fait")*('MON SUIVI QUOTIDIEN'!$E$22:$K$22&gt;='MON SUIVI QUOTIDIEN'!$C$28:$C$67)*('MON SUIVI QUOTIDIEN'!$C$28:$C$67&lt;&gt;"")*('MON SUIVI QUOTIDIEN'!$D$28:$D$67="Recom."))+SUMPRODUCT(('MON SUIVI QUOTIDIEN'!$E$28:$K$67="Pas fait")*('MON SUIVI QUOTIDIEN'!$E$22:$K$22&gt;='MON SUIVI QUOTIDIEN'!$C$28:$C$67)*('MON SUIVI QUOTIDIEN'!$C$28:$C$67&lt;&gt;"")*('MON SUIVI QUOTIDIEN'!$D$28:$D$67="Recom."))))</f>
        <v/>
      </c>
    </row>
    <row r="29" spans="2:12">
      <c r="B29" t="s">
        <v>112</v>
      </c>
      <c r="C29" t="s">
        <v>125</v>
      </c>
      <c r="D29" t="s">
        <v>116</v>
      </c>
      <c r="E29" t="s">
        <v>117</v>
      </c>
      <c r="F29" t="s">
        <v>224</v>
      </c>
      <c r="G29" t="s">
        <v>225</v>
      </c>
      <c r="H29" t="s">
        <v>226</v>
      </c>
      <c r="I29" t="s">
        <v>227</v>
      </c>
    </row>
    <row r="30" spans="2:12">
      <c r="B30" t="s">
        <v>42</v>
      </c>
      <c r="C30" t="str">
        <f>L7</f>
        <v/>
      </c>
      <c r="D30">
        <f>L6</f>
        <v>0</v>
      </c>
      <c r="E30" t="str">
        <f>IF(D30=0,"Aucune donnée",IF(OR(C30="",D30&lt;MISSIONS!$E$4),"Incomplet","Complet"))</f>
        <v>Aucune donnée</v>
      </c>
      <c r="F30">
        <v>0.5</v>
      </c>
      <c r="G30" t="str">
        <f>IF(C30="",B30&amp;" · aucune donnée",B30&amp;" · "&amp;ROUND(C30*100,0)&amp;" %"&amp;IF(E30="Complet",""," (incomplet)"))</f>
        <v>Religion · aucune donnée</v>
      </c>
      <c r="H30" s="51">
        <f>IF(C30="",0,C30)</f>
        <v>0</v>
      </c>
      <c r="I30" t="str">
        <f>IF(C30="","",IF(C30&gt;=0.8,1,IF(C30&gt;=0.5,2,3)))</f>
        <v/>
      </c>
    </row>
    <row r="31" spans="2:12">
      <c r="B31" t="s">
        <v>43</v>
      </c>
      <c r="C31" t="str">
        <f>L13</f>
        <v/>
      </c>
      <c r="D31">
        <f>L12</f>
        <v>0</v>
      </c>
      <c r="E31" t="str">
        <f>IF(D31=0,"Aucune donnée",IF(OR(C31="",D31&lt;MISSIONS!$E$4),"Incomplet","Complet"))</f>
        <v>Aucune donnée</v>
      </c>
      <c r="F31">
        <v>0.2</v>
      </c>
      <c r="G31" t="str">
        <f>IF(C31="",B31&amp;" · aucune donnée",B31&amp;" · "&amp;ROUND(C31*100,0)&amp;" %"&amp;IF(E31="Complet",""," (incomplet)"))</f>
        <v>Nutrition · aucune donnée</v>
      </c>
      <c r="H31" s="51">
        <f>IF(C31="",0,C31)</f>
        <v>0</v>
      </c>
      <c r="I31" t="str">
        <f>IF(C31="","",IF(C31&gt;=0.8,1,IF(C31&gt;=0.5,2,3)))</f>
        <v/>
      </c>
    </row>
    <row r="32" spans="2:12">
      <c r="B32" t="s">
        <v>44</v>
      </c>
      <c r="C32" t="str">
        <f>L19</f>
        <v/>
      </c>
      <c r="D32">
        <f>L18</f>
        <v>0</v>
      </c>
      <c r="E32" t="str">
        <f>IF(D32=0,"Aucune donnée",IF(OR(C32="",D32&lt;MISSIONS!$E$4),"Incomplet","Complet"))</f>
        <v>Aucune donnée</v>
      </c>
      <c r="F32">
        <v>0.2</v>
      </c>
      <c r="G32" t="str">
        <f>IF(C32="",B32&amp;" · aucune donnée",B32&amp;" · "&amp;ROUND(C32*100,0)&amp;" %"&amp;IF(E32="Complet",""," (incomplet)"))</f>
        <v>Sommeil · aucune donnée</v>
      </c>
      <c r="H32" s="51">
        <f>IF(C32="",0,C32)</f>
        <v>0</v>
      </c>
      <c r="I32" t="str">
        <f>IF(C32="","",IF(C32&gt;=0.8,1,IF(C32&gt;=0.5,2,3)))</f>
        <v/>
      </c>
    </row>
    <row r="33" spans="2:9">
      <c r="B33" t="s">
        <v>45</v>
      </c>
      <c r="C33" t="str">
        <f>L25</f>
        <v/>
      </c>
      <c r="D33">
        <f>L24</f>
        <v>0</v>
      </c>
      <c r="E33" t="str">
        <f>IF(D33=0,"Aucune donnée",IF(OR(C33="",D33&lt;MISSIONS!$E$4),"Incomplet","Complet"))</f>
        <v>Aucune donnée</v>
      </c>
      <c r="F33">
        <v>0.1</v>
      </c>
      <c r="G33" t="str">
        <f>IF(C33="",B33&amp;" · aucune donnée",B33&amp;" · "&amp;ROUND(C33*100,0)&amp;" %"&amp;IF(E33="Complet",""," (incomplet)"))</f>
        <v>Sport · aucune donnée</v>
      </c>
      <c r="H33" s="51">
        <f>IF(C33="",0,C33)</f>
        <v>0</v>
      </c>
      <c r="I33" t="str">
        <f>IF(C33="","",IF(C33&gt;=0.8,1,IF(C33&gt;=0.5,2,3)))</f>
        <v/>
      </c>
    </row>
    <row r="35" spans="2:9">
      <c r="B35" t="s">
        <v>228</v>
      </c>
      <c r="C35">
        <f>IF(COUNTIF(E30:E33,"Complet")=4,1,0)</f>
        <v>0</v>
      </c>
    </row>
    <row r="36" spans="2:9">
      <c r="B36" t="s">
        <v>229</v>
      </c>
      <c r="C36" t="str">
        <f>IF(C35=1,ROUND(SUMPRODUCT(C30:C33,F30:F33)*100,0),"")</f>
        <v/>
      </c>
    </row>
    <row r="37" spans="2:9">
      <c r="B37" t="s">
        <v>230</v>
      </c>
      <c r="C37">
        <f>COUNT(C30:C33)</f>
        <v>0</v>
      </c>
    </row>
    <row r="38" spans="2:9">
      <c r="B38" t="s">
        <v>231</v>
      </c>
      <c r="C38" t="str">
        <f>IF(E30&lt;&gt;"Complet","Religion, ","")&amp;IF(E31&lt;&gt;"Complet","Nutrition, ","")&amp;IF(E32&lt;&gt;"Complet","Sommeil, ","")&amp;IF(E33&lt;&gt;"Complet","Sport, ","")</f>
        <v xml:space="preserve">Religion, Nutrition, Sommeil, Sport, </v>
      </c>
    </row>
    <row r="39" spans="2:9">
      <c r="B39" t="s">
        <v>232</v>
      </c>
      <c r="C39" t="str">
        <f>IF(C38="","",LEFT(C38,LEN(C38)-2))</f>
        <v>Religion, Nutrition, Sommeil, Sport</v>
      </c>
    </row>
    <row r="40" spans="2:9">
      <c r="B40" t="s">
        <v>233</v>
      </c>
      <c r="C40" t="str">
        <f>IF(C37=0,"",MATCH(MAX(C30:C33),C30:C33,0))</f>
        <v/>
      </c>
    </row>
    <row r="41" spans="2:9">
      <c r="B41" t="s">
        <v>234</v>
      </c>
      <c r="C41" t="str">
        <f>IF(C37=0,"",MATCH(MIN(C30:C33),C30:C33,0))</f>
        <v/>
      </c>
    </row>
    <row r="42" spans="2:9">
      <c r="B42" t="s">
        <v>235</v>
      </c>
      <c r="C42" t="str">
        <f>IF(C40="","",INDEX(I30:I33,C40))</f>
        <v/>
      </c>
    </row>
    <row r="43" spans="2:9">
      <c r="B43" t="s">
        <v>236</v>
      </c>
      <c r="C43" t="str">
        <f>IF(C41="","",INDEX(C30:C33,C41))</f>
        <v/>
      </c>
    </row>
    <row r="44" spans="2:9">
      <c r="B44" t="s">
        <v>237</v>
      </c>
      <c r="C44" t="str">
        <f>IF(C41="","",CHOOSE(C41,1,1+IF(COUNT(L9:L11)=0,1,MATCH(MIN(L9:L11),L9:L11,0)),4+IF(COUNT(L15:L17)=0,1,MATCH(MIN(L15:L17),L15:L17,0)),7+IF(COUNT(L21:L23)=0,1,MATCH(MIN(L21:L23),L21:L23,0))))</f>
        <v/>
      </c>
    </row>
    <row r="45" spans="2:9">
      <c r="B45" t="s">
        <v>238</v>
      </c>
      <c r="C45" t="str">
        <f>IF(COUNT('MON SUIVI QUOTIDIEN'!$L$28:$L$67)=0,"une habitude déjà introduite",INDEX('MON SUIVI QUOTIDIEN'!$B$28:$B$67,MATCH(MIN('MON SUIVI QUOTIDIEN'!$L$28:$L$67),'MON SUIVI QUOTIDIEN'!$L$28:$L$67,0)))</f>
        <v>une habitude déjà introduite</v>
      </c>
    </row>
    <row r="46" spans="2:9">
      <c r="B46" t="s">
        <v>239</v>
      </c>
      <c r="C46" t="str">
        <f>IF(C44="","",CHOOSE(C44,C45,'MON SUIVI QUOTIDIEN'!$C$12&amp;"","","",'MON SUIVI QUOTIDIEN'!$C$14&amp;"",HOUR('MON SUIVI QUOTIDIEN'!$C$15)&amp;"h"&amp;RIGHT("0"&amp;MINUTE('MON SUIVI QUOTIDIEN'!$C$15),2),"",'MON SUIVI QUOTIDIEN'!$C$17&amp;"","",""))</f>
        <v/>
      </c>
    </row>
    <row r="47" spans="2:9">
      <c r="B47" t="s">
        <v>240</v>
      </c>
      <c r="C47" t="str">
        <f>IF(CALCULS!$C$37=0,"Remplis ton suivi quotidien : ton analyse personnalisée apparaîtra ici automatiquement.",IF(CALCULS!$C$35=1,"","(Analyse partielle, sur les jours renseignés) ")&amp;INDEX(TEXTES!$C$16:$E$19,CALCULS!$C$40,CALCULS!$C$42))</f>
        <v>Remplis ton suivi quotidien : ton analyse personnalisée apparaîtra ici automatiquement.</v>
      </c>
    </row>
    <row r="48" spans="2:9">
      <c r="B48" t="s">
        <v>241</v>
      </c>
      <c r="C48" t="str">
        <f>IF(CALCULS!$C$37=0,"Aucune donnée pour l'instant.",IF(CALCULS!$C$35=1,"","(Analyse partielle, sur les jours renseignés) ")&amp;IF(CALCULS!$C$43&gt;=0.999,TEXTES!$B$22,IF(CALCULS!$C$43&gt;=0.8,TEXTES!$B$23&amp;" ","")&amp;SUBSTITUTE(INDEX(TEXTES!$C$4:$C$13,CALCULS!$C$44),"{X}",C46)))</f>
        <v>Aucune donnée pour l'instant.</v>
      </c>
    </row>
    <row r="49" spans="2:3">
      <c r="B49" t="s">
        <v>242</v>
      </c>
      <c r="C49" t="str">
        <f>IF(CALCULS!$C$37=0,"Commence par 2 ou 3 jours de suivi : ta mission apparaîtra ici.",IF(CALCULS!$C$43&gt;=0.999,TEXTES!$B$24,SUBSTITUTE(INDEX(TEXTES!$D$4:$D$13,CALCULS!$C$44),"{X}",C46)))</f>
        <v>Commence par 2 ou 3 jours de suivi : ta mission apparaîtra ici.</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dimension ref="A1:E24"/>
  <sheetViews>
    <sheetView showGridLines="0" zoomScaleNormal="100" workbookViewId="0"/>
  </sheetViews>
  <sheetFormatPr baseColWidth="10" defaultColWidth="8.7109375" defaultRowHeight="15"/>
  <cols>
    <col min="1" max="1" width="12" customWidth="1"/>
    <col min="2" max="2" width="34" customWidth="1"/>
    <col min="3" max="5" width="70" customWidth="1"/>
  </cols>
  <sheetData>
    <row r="1" spans="1:5" ht="132">
      <c r="A1" s="52" t="s">
        <v>243</v>
      </c>
      <c r="B1" s="52"/>
      <c r="C1" s="52"/>
      <c r="D1" s="52"/>
      <c r="E1" s="52"/>
    </row>
    <row r="2" spans="1:5">
      <c r="A2" s="53"/>
      <c r="B2" s="53"/>
      <c r="C2" s="53"/>
      <c r="D2" s="53"/>
      <c r="E2" s="53"/>
    </row>
    <row r="3" spans="1:5">
      <c r="A3" s="52" t="s">
        <v>244</v>
      </c>
      <c r="B3" s="52" t="s">
        <v>84</v>
      </c>
      <c r="C3" s="52" t="s">
        <v>245</v>
      </c>
      <c r="D3" s="52" t="s">
        <v>246</v>
      </c>
      <c r="E3" s="52"/>
    </row>
    <row r="4" spans="1:5" ht="36">
      <c r="A4" s="53" t="s">
        <v>247</v>
      </c>
      <c r="B4" s="53" t="s">
        <v>248</v>
      </c>
      <c r="C4" s="53" t="s">
        <v>249</v>
      </c>
      <c r="D4" s="53" t="s">
        <v>250</v>
      </c>
      <c r="E4" s="53"/>
    </row>
    <row r="5" spans="1:5" ht="24">
      <c r="A5" s="53" t="s">
        <v>251</v>
      </c>
      <c r="B5" s="53" t="s">
        <v>131</v>
      </c>
      <c r="C5" s="53" t="s">
        <v>252</v>
      </c>
      <c r="D5" s="53" t="s">
        <v>253</v>
      </c>
      <c r="E5" s="53"/>
    </row>
    <row r="6" spans="1:5" ht="24">
      <c r="A6" s="53" t="s">
        <v>254</v>
      </c>
      <c r="B6" s="53" t="s">
        <v>133</v>
      </c>
      <c r="C6" s="53" t="s">
        <v>255</v>
      </c>
      <c r="D6" s="53" t="s">
        <v>256</v>
      </c>
      <c r="E6" s="53"/>
    </row>
    <row r="7" spans="1:5" ht="24">
      <c r="A7" s="53" t="s">
        <v>257</v>
      </c>
      <c r="B7" s="53" t="s">
        <v>258</v>
      </c>
      <c r="C7" s="53" t="s">
        <v>259</v>
      </c>
      <c r="D7" s="53" t="s">
        <v>260</v>
      </c>
      <c r="E7" s="53"/>
    </row>
    <row r="8" spans="1:5" ht="24">
      <c r="A8" s="53" t="s">
        <v>261</v>
      </c>
      <c r="B8" s="53" t="s">
        <v>136</v>
      </c>
      <c r="C8" s="53" t="s">
        <v>262</v>
      </c>
      <c r="D8" s="53" t="s">
        <v>263</v>
      </c>
      <c r="E8" s="53"/>
    </row>
    <row r="9" spans="1:5" ht="24">
      <c r="A9" s="53" t="s">
        <v>264</v>
      </c>
      <c r="B9" s="53" t="s">
        <v>265</v>
      </c>
      <c r="C9" s="53" t="s">
        <v>266</v>
      </c>
      <c r="D9" s="53" t="s">
        <v>267</v>
      </c>
      <c r="E9" s="53"/>
    </row>
    <row r="10" spans="1:5" ht="24">
      <c r="A10" s="53" t="s">
        <v>268</v>
      </c>
      <c r="B10" s="53" t="s">
        <v>140</v>
      </c>
      <c r="C10" s="53" t="s">
        <v>269</v>
      </c>
      <c r="D10" s="53" t="s">
        <v>270</v>
      </c>
      <c r="E10" s="53"/>
    </row>
    <row r="11" spans="1:5" ht="24">
      <c r="A11" s="53" t="s">
        <v>271</v>
      </c>
      <c r="B11" s="53" t="s">
        <v>141</v>
      </c>
      <c r="C11" s="53" t="s">
        <v>272</v>
      </c>
      <c r="D11" s="53" t="s">
        <v>273</v>
      </c>
      <c r="E11" s="53"/>
    </row>
    <row r="12" spans="1:5" ht="24">
      <c r="A12" s="53" t="s">
        <v>274</v>
      </c>
      <c r="B12" s="53" t="s">
        <v>275</v>
      </c>
      <c r="C12" s="53" t="s">
        <v>276</v>
      </c>
      <c r="D12" s="53" t="s">
        <v>277</v>
      </c>
      <c r="E12" s="53"/>
    </row>
    <row r="13" spans="1:5" ht="24">
      <c r="A13" s="53" t="s">
        <v>278</v>
      </c>
      <c r="B13" s="53" t="s">
        <v>279</v>
      </c>
      <c r="C13" s="53" t="s">
        <v>280</v>
      </c>
      <c r="D13" s="53" t="s">
        <v>281</v>
      </c>
      <c r="E13" s="53"/>
    </row>
    <row r="14" spans="1:5">
      <c r="A14" s="53"/>
      <c r="B14" s="53"/>
      <c r="C14" s="53"/>
      <c r="D14" s="53"/>
      <c r="E14" s="53"/>
    </row>
    <row r="15" spans="1:5">
      <c r="A15" s="52" t="s">
        <v>282</v>
      </c>
      <c r="B15" s="52" t="s">
        <v>112</v>
      </c>
      <c r="C15" s="52" t="s">
        <v>283</v>
      </c>
      <c r="D15" s="52" t="s">
        <v>284</v>
      </c>
      <c r="E15" s="52" t="s">
        <v>285</v>
      </c>
    </row>
    <row r="16" spans="1:5" ht="24">
      <c r="A16" s="53"/>
      <c r="B16" s="53" t="s">
        <v>42</v>
      </c>
      <c r="C16" s="53" t="s">
        <v>286</v>
      </c>
      <c r="D16" s="53" t="s">
        <v>287</v>
      </c>
      <c r="E16" s="53" t="s">
        <v>288</v>
      </c>
    </row>
    <row r="17" spans="1:5" ht="24">
      <c r="A17" s="53"/>
      <c r="B17" s="53" t="s">
        <v>43</v>
      </c>
      <c r="C17" s="53" t="s">
        <v>289</v>
      </c>
      <c r="D17" s="53" t="s">
        <v>290</v>
      </c>
      <c r="E17" s="53" t="s">
        <v>291</v>
      </c>
    </row>
    <row r="18" spans="1:5" ht="24">
      <c r="A18" s="53"/>
      <c r="B18" s="53" t="s">
        <v>44</v>
      </c>
      <c r="C18" s="53" t="s">
        <v>292</v>
      </c>
      <c r="D18" s="53" t="s">
        <v>293</v>
      </c>
      <c r="E18" s="53" t="s">
        <v>294</v>
      </c>
    </row>
    <row r="19" spans="1:5" ht="24">
      <c r="A19" s="53"/>
      <c r="B19" s="53" t="s">
        <v>45</v>
      </c>
      <c r="C19" s="53" t="s">
        <v>295</v>
      </c>
      <c r="D19" s="53" t="s">
        <v>296</v>
      </c>
      <c r="E19" s="53" t="s">
        <v>297</v>
      </c>
    </row>
    <row r="20" spans="1:5">
      <c r="A20" s="53"/>
      <c r="B20" s="53"/>
      <c r="C20" s="53"/>
      <c r="D20" s="53"/>
      <c r="E20" s="53"/>
    </row>
    <row r="21" spans="1:5" ht="24">
      <c r="A21" s="52" t="s">
        <v>298</v>
      </c>
      <c r="B21" s="52"/>
      <c r="C21" s="52"/>
      <c r="D21" s="52"/>
      <c r="E21" s="52"/>
    </row>
    <row r="22" spans="1:5" ht="48">
      <c r="A22" s="53" t="s">
        <v>299</v>
      </c>
      <c r="B22" s="53" t="s">
        <v>300</v>
      </c>
      <c r="C22" s="53"/>
      <c r="D22" s="53"/>
      <c r="E22" s="53"/>
    </row>
    <row r="23" spans="1:5" ht="36">
      <c r="A23" s="53" t="s">
        <v>301</v>
      </c>
      <c r="B23" s="53" t="s">
        <v>302</v>
      </c>
      <c r="C23" s="53"/>
      <c r="D23" s="53"/>
      <c r="E23" s="53"/>
    </row>
    <row r="24" spans="1:5" ht="48">
      <c r="A24" s="53" t="s">
        <v>303</v>
      </c>
      <c r="B24" s="53" t="s">
        <v>304</v>
      </c>
      <c r="C24" s="53"/>
      <c r="D24" s="53"/>
      <c r="E24" s="53"/>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sheetPr>
    <pageSetUpPr fitToPage="1"/>
  </sheetPr>
  <dimension ref="B1:H45"/>
  <sheetViews>
    <sheetView showGridLines="0" zoomScaleNormal="100" workbookViewId="0">
      <pane ySplit="5" topLeftCell="A6" activePane="bottomLeft" state="frozen"/>
      <selection pane="bottomLeft" activeCell="B6" sqref="B6"/>
    </sheetView>
  </sheetViews>
  <sheetFormatPr baseColWidth="10" defaultColWidth="8.7109375" defaultRowHeight="15"/>
  <cols>
    <col min="1" max="1" width="2" customWidth="1"/>
    <col min="2" max="2" width="6" customWidth="1"/>
    <col min="3" max="3" width="7" customWidth="1"/>
    <col min="4" max="4" width="38" customWidth="1"/>
    <col min="5" max="5" width="50" customWidth="1"/>
    <col min="6" max="6" width="66" customWidth="1"/>
    <col min="7" max="7" width="26" customWidth="1"/>
    <col min="8" max="8" width="11" customWidth="1"/>
  </cols>
  <sheetData>
    <row r="1" ht="39.75" customHeight="1">
      <c r="B1" s="13" t="s">
        <v>0</v>
      </c>
      <c r="C1" s="13"/>
      <c r="D1" s="13"/>
      <c r="E1" s="13"/>
      <c r="F1" s="13"/>
      <c r="G1" s="13"/>
      <c r="H1" s="13"/>
    </row>
    <row r="2" ht="21.75" customHeight="1">
      <c r="B2" s="12" t="s">
        <v>1</v>
      </c>
      <c r="C2" s="12"/>
      <c r="D2" s="12"/>
      <c r="E2" s="12"/>
      <c r="F2" s="12"/>
      <c r="G2" s="12"/>
      <c r="H2" s="12"/>
    </row>
    <row r="3" ht="25.5" customHeight="1">
      <c r="B3" s="8" t="inlineStr">
        <is>
          <t xml:space="preserve">MES MISSIONS : 30 HABITUDES SUR 24 SEMAINES</t>
        </is>
      </c>
      <c r="C3" s="8"/>
      <c r="D3" s="8"/>
      <c r="E3" s="8"/>
      <c r="F3" s="8"/>
      <c r="G3" s="8"/>
      <c r="H3" s="8"/>
    </row>
    <row r="4" ht="54" customHeight="1">
      <c r="B4" s="9" t="inlineStr">
        <is>
          <t xml:space="preserve">Semaine 1 : une nouvelle mission chaque jour (J1 à J7). Ensuite : une seule nouvelle mission par semaine, jusqu'à la semaine 24. Chaque mission s'ajoute toute seule à ton suivi quotidien le jour indiqué, et tu la gardes jusqu'à la fin. Les récompenses citées sont le sens de hadiths dont la référence est donnée : elles t'encouragent, elles ne sont jamais une note sur ta foi.</t>
        </is>
      </c>
      <c r="C4" s="9"/>
      <c r="D4" s="9"/>
      <c r="E4" s="9"/>
      <c r="F4" s="9"/>
      <c r="G4" s="9"/>
      <c r="H4" s="9"/>
    </row>
    <row r="5" ht="25.5" customHeight="1">
      <c r="B5" s="48" t="inlineStr">
        <is>
          <t xml:space="preserve">Sem.</t>
        </is>
      </c>
      <c r="C5" s="48" t="inlineStr">
        <is>
          <t xml:space="preserve">Dès</t>
        </is>
      </c>
      <c r="D5" s="48" t="inlineStr">
        <is>
          <t xml:space="preserve">Mission</t>
        </is>
      </c>
      <c r="E5" s="48" t="inlineStr">
        <is>
          <t xml:space="preserve">Comment la faire</t>
        </is>
      </c>
      <c r="F5" s="48" t="inlineStr">
        <is>
          <t xml:space="preserve">Récompense (sens du hadith)</t>
        </is>
      </c>
      <c r="G5" s="48" t="inlineStr">
        <is>
          <t xml:space="preserve">Source</t>
        </is>
      </c>
      <c r="H5" s="48" t="inlineStr">
        <is>
          <t xml:space="preserve">Statut</t>
        </is>
      </c>
    </row>
    <row r="6" ht="66.8" customHeight="1">
      <c r="B6" s="44">
        <f>IF(MISSIONS!$C8="","",INT((MISSIONS!$C8-1)/7)+1)</f>
        <v>1</v>
      </c>
      <c r="C6" s="44" t="str">
        <f>IF(MISSIONS!$C8="","","J"&amp;MISSIONS!$C8)</f>
        <v>J1</v>
      </c>
      <c r="D6" s="77" t="str">
        <f>IF(MISSIONS!$D8="","",MISSIONS!$D8)</f>
        <v>Lire les 10 versets de la semaine</v>
      </c>
      <c r="E6" s="32" t="str">
        <f>IF(MISSIONS!$F8="","",MISSIONS!$F8)</f>
        <v>Onglet VERSETS : lis les 10 versets de ta semaine avec leur traduction, lentement. Tu peux les relire chaque jour : la régularité compte plus que la quantité.</v>
      </c>
      <c r="F6" s="32" t="str">
        <f>IF(MISSIONS!$G8="","",MISSIONS!$G8)</f>
        <v>Le Prophète ﷺ a dit : « Celui qui lit une lettre du Livre d'Allah aura une bonne action, et la bonne action est multipliée par dix. »</v>
      </c>
      <c r="G6" s="34" t="str">
        <f>IF(MISSIONS!$H8="","",MISSIONS!$H8)</f>
        <v>At-Tirmidhi 2910 (hasan)</v>
      </c>
      <c r="H6" s="44" t="str">
        <f>IF(OR(MISSIONS!$C8="",'MON SUIVI QUOTIDIEN'!$K$22=""),"",IF(MISSIONS!$C8&lt;='MON SUIVI QUOTIDIEN'!$K$22,"Active","À venir"))</f>
        <v/>
      </c>
    </row>
    <row r="7" ht="80" customHeight="1">
      <c r="B7" s="44">
        <f>IF(MISSIONS!$C9="","",INT((MISSIONS!$C9-1)/7)+1)</f>
        <v>1</v>
      </c>
      <c r="C7" s="44" t="str">
        <f>IF(MISSIONS!$C9="","","J"&amp;MISSIONS!$C9)</f>
        <v>J2</v>
      </c>
      <c r="D7" s="77" t="str">
        <f>IF(MISSIONS!$D9="","",MISSIONS!$D9)</f>
        <v>Dire l'invocation du réveil</v>
      </c>
      <c r="E7" s="32" t="str">
        <f>IF(MISSIONS!$F9="","",MISSIONS!$F9)</f>
        <v>À dire dès le réveil, avant de prendre son téléphone. « Al-ḥamdu lillāhi lladhī aḥyānā baʿda mā amātanā wa ilayhi n-nushūr » (الحمد لله الذي أحيانا بعد ما أماتنا وإليه النشور).</v>
      </c>
      <c r="F7" s="32" t="str">
        <f>IF(MISSIONS!$G9="","",MISSIONS!$G9)</f>
        <v>Le Prophète ﷺ disait au réveil : « Louange à Allah qui nous a redonné la vie après nous avoir fait mourir, et c'est vers Lui que sera la résurrection. » Le sommeil est une petite mort : te réveiller est une raison de remercier Allah dès la première minute. Aucune récompense chiffrée n'est précisée : on s'en tient à ce que dit le texte.</v>
      </c>
      <c r="G7" s="34" t="str">
        <f>IF(MISSIONS!$H9="","",MISSIONS!$H9)</f>
        <v>Boukhari 6312 ; Mouslim 2711</v>
      </c>
      <c r="H7" s="44" t="str">
        <f>IF(OR(MISSIONS!$C9="",'MON SUIVI QUOTIDIEN'!$K$22=""),"",IF(MISSIONS!$C9&lt;='MON SUIVI QUOTIDIEN'!$K$22,"Active","À venir"))</f>
        <v/>
      </c>
    </row>
    <row r="8" ht="66.8" customHeight="1">
      <c r="B8" s="44">
        <f>IF(MISSIONS!$C10="","",INT((MISSIONS!$C10-1)/7)+1)</f>
        <v>1</v>
      </c>
      <c r="C8" s="44" t="str">
        <f>IF(MISSIONS!$C10="","","J"&amp;MISSIONS!$C10)</f>
        <v>J3</v>
      </c>
      <c r="D8" s="77" t="str">
        <f>IF(MISSIONS!$D10="","",MISSIONS!$D10)</f>
        <v>Renouveler mon intention pour Allah dans mes activités</v>
      </c>
      <c r="E8" s="32" t="str">
        <f>IF(MISSIONS!$F10="","",MISSIONS!$F10)</f>
        <v>Travail, repas, sport, famille : faire de l'ordinaire une adoration. Un instant, avant l'activité : « Je le fais pour Allah ».</v>
      </c>
      <c r="F8" s="32" t="str">
        <f>IF(MISSIONS!$G10="","",MISSIONS!$G10)</f>
        <v>Le Prophète ﷺ a dit : « Tu seras récompensé pour tout ce que tu dépenses pour Allah, même pour la bouchée que tu mets dans la bouche de ton épouse. » Une habitude de tous les jours devient une adoration quand l'intention est pour Allah.</v>
      </c>
      <c r="G8" s="34" t="str">
        <f>IF(MISSIONS!$H10="","",MISSIONS!$H10)</f>
        <v>Boukhari 56 ; Boukhari 1 (« les actes ne valent que par les intentions »)</v>
      </c>
      <c r="H8" s="44" t="str">
        <f>IF(OR(MISSIONS!$C10="",'MON SUIVI QUOTIDIEN'!$K$22=""),"",IF(MISSIONS!$C10&lt;='MON SUIVI QUOTIDIEN'!$K$22,"Active","À venir"))</f>
        <v/>
      </c>
    </row>
    <row r="9" ht="40.4" customHeight="1">
      <c r="B9" s="44">
        <f>IF(MISSIONS!$C11="","",INT((MISSIONS!$C11-1)/7)+1)</f>
        <v>1</v>
      </c>
      <c r="C9" s="44" t="str">
        <f>IF(MISSIONS!$C11="","","J"&amp;MISSIONS!$C11)</f>
        <v>J4</v>
      </c>
      <c r="D9" s="77" t="str">
        <f>IF(MISSIONS!$D11="","",MISSIONS!$D11)</f>
        <v>Bon soupçon envers les autres et sourires sincères</v>
      </c>
      <c r="E9" s="32" t="str">
        <f>IF(MISSIONS!$F11="","",MISSIONS!$F11)</f>
        <v>Chercher l'excuse avant le reproche ; sourire à ceux qu'on croise.</v>
      </c>
      <c r="F9" s="32" t="str">
        <f>IF(MISSIONS!$G11="","",MISSIONS!$G11)</f>
        <v>« Ton sourire au visage de ton frère est une aumône. » Et : « Gardez-vous du soupçon, car le soupçon est le plus mensonger des discours. »</v>
      </c>
      <c r="G9" s="34" t="str">
        <f>IF(MISSIONS!$H11="","",MISSIONS!$H11)</f>
        <v>At-Tirmidhi 1956 (hasan) ; Boukhari 6066</v>
      </c>
      <c r="H9" s="44" t="str">
        <f>IF(OR(MISSIONS!$C11="",'MON SUIVI QUOTIDIEN'!$K$22=""),"",IF(MISSIONS!$C11&lt;='MON SUIVI QUOTIDIEN'!$K$22,"Active","À venir"))</f>
        <v/>
      </c>
    </row>
    <row r="10" ht="40.4" customHeight="1">
      <c r="B10" s="44">
        <f>IF(MISSIONS!$C12="","",INT((MISSIONS!$C12-1)/7)+1)</f>
        <v>1</v>
      </c>
      <c r="C10" s="44" t="str">
        <f>IF(MISSIONS!$C12="","","J"&amp;MISSIONS!$C12)</f>
        <v>J5</v>
      </c>
      <c r="D10" s="77" t="str">
        <f>IF(MISSIONS!$D12="","",MISSIONS!$D12)</f>
        <v>Prononcer 100 fois « Astaghfirullah »</v>
      </c>
      <c r="E10" s="32" t="str">
        <f>IF(MISSIONS!$F12="","",MISSIONS!$F12)</f>
        <v>Avec une intention sincère, à un moment fixe de la journée. (أستغفر الله)</v>
      </c>
      <c r="F10" s="32" t="str">
        <f>IF(MISSIONS!$G12="","",MISSIONS!$G12)</f>
        <v>Le Prophète ﷺ a dit : « Il y a parfois comme un voile sur mon cœur, et je demande pardon à Allah cent fois par jour. »</v>
      </c>
      <c r="G10" s="34" t="str">
        <f>IF(MISSIONS!$H12="","",MISSIONS!$H12)</f>
        <v>Mouslim 2702</v>
      </c>
      <c r="H10" s="44" t="str">
        <f>IF(OR(MISSIONS!$C12="",'MON SUIVI QUOTIDIEN'!$K$22=""),"",IF(MISSIONS!$C12&lt;='MON SUIVI QUOTIDIEN'!$K$22,"Active","À venir"))</f>
        <v/>
      </c>
    </row>
    <row r="11" ht="53.6" customHeight="1">
      <c r="B11" s="44">
        <f>IF(MISSIONS!$C13="","",INT((MISSIONS!$C13-1)/7)+1)</f>
        <v>1</v>
      </c>
      <c r="C11" s="44" t="str">
        <f>IF(MISSIONS!$C13="","","J"&amp;MISSIONS!$C13)</f>
        <v>J6</v>
      </c>
      <c r="D11" s="77" t="str">
        <f>IF(MISSIONS!$D13="","",MISSIONS!$D13)</f>
        <v>Dire 100 fois « Subḥān Allāh wa bi-ḥamdih »</v>
      </c>
      <c r="E11" s="32" t="str">
        <f>IF(MISSIONS!$F13="","",MISSIONS!$F13)</f>
        <v>Formule : « Subḥāna Llāhi wa bi-ḥamdih » (سبحان الله وبحمده). Accroche-la à un moment fixe, par exemple après la prière du matin.</v>
      </c>
      <c r="F11" s="32" t="str">
        <f>IF(MISSIONS!$G13="","",MISSIONS!$G13)</f>
        <v>Le Prophète ﷺ a dit : « Celui qui dit « Subḥāna Llāhi wa bi-ḥamdih » cent fois par jour, ses péchés lui sont pardonnés, même s'ils sont comme l'écume de la mer. »</v>
      </c>
      <c r="G11" s="34" t="str">
        <f>IF(MISSIONS!$H13="","",MISSIONS!$H13)</f>
        <v>Boukhari 6405</v>
      </c>
      <c r="H11" s="44" t="str">
        <f>IF(OR(MISSIONS!$C13="",'MON SUIVI QUOTIDIEN'!$K$22=""),"",IF(MISSIONS!$C13&lt;='MON SUIVI QUOTIDIEN'!$K$22,"Active","À venir"))</f>
        <v/>
      </c>
    </row>
    <row r="12" ht="53.6" customHeight="1">
      <c r="B12" s="44">
        <f>IF(MISSIONS!$C14="","",INT((MISSIONS!$C14-1)/7)+1)</f>
        <v>1</v>
      </c>
      <c r="C12" s="44" t="str">
        <f>IF(MISSIONS!$C14="","","J"&amp;MISSIONS!$C14)</f>
        <v>J7</v>
      </c>
      <c r="D12" s="77" t="str">
        <f>IF(MISSIONS!$D14="","",MISSIONS!$D14)</f>
        <v>Envoyer 10 fois des salutations sur le Prophète ﷺ</v>
      </c>
      <c r="E12" s="32" t="str">
        <f>IF(MISSIONS!$F14="","",MISSIONS!$F14)</f>
        <v>Formule simple : « Allāhumma ṣalli ʿalā Muḥammad » ou « Ṣallā Llāhu ʿalayhi wa sallam ». Le vendredi, multiplie-les.</v>
      </c>
      <c r="F12" s="32" t="str">
        <f>IF(MISSIONS!$G14="","",MISSIONS!$G14)</f>
        <v>Le Prophète ﷺ a dit : « Celui qui prie sur moi une fois, Allah priera sur lui dix fois. »</v>
      </c>
      <c r="G12" s="34" t="str">
        <f>IF(MISSIONS!$H14="","",MISSIONS!$H14)</f>
        <v>Mouslim 408</v>
      </c>
      <c r="H12" s="44" t="str">
        <f>IF(OR(MISSIONS!$C14="",'MON SUIVI QUOTIDIEN'!$K$22=""),"",IF(MISSIONS!$C14&lt;='MON SUIVI QUOTIDIEN'!$K$22,"Active","À venir"))</f>
        <v/>
      </c>
    </row>
    <row r="13" ht="66.8" customHeight="1">
      <c r="B13" s="44">
        <f>IF(MISSIONS!$C15="","",INT((MISSIONS!$C15-1)/7)+1)</f>
        <v>2</v>
      </c>
      <c r="C13" s="44" t="str">
        <f>IF(MISSIONS!$C15="","","J"&amp;MISSIONS!$C15)</f>
        <v>J8</v>
      </c>
      <c r="D13" s="77" t="str">
        <f>IF(MISSIONS!$D15="","",MISSIONS!$D15)</f>
        <v>Invoquer Allah de m'accorder le Ramadan</v>
      </c>
      <c r="E13" s="32" t="str">
        <f>IF(MISSIONS!$F15="","",MISSIONS!$F15)</f>
        <v>Une fois par jour, dis simplement : « Ô Allah, fais-moi atteindre le Ramadan, et accepte-le de moi. » C'est la pratique des pieux prédécesseurs, que tu continueras jusqu'au Ramadan.</v>
      </c>
      <c r="F13" s="32" t="str">
        <f>IF(MISSIONS!$G15="","",MISSIONS!$G15)</f>
        <v>Les pieux prédécesseurs invoquaient Allah pendant six mois pour atteindre le Ramadan, puis pendant six mois pour qu'Il l'accepte d'eux.</v>
      </c>
      <c r="G13" s="34" t="str">
        <f>IF(MISSIONS!$H15="","",MISSIONS!$H15)</f>
        <v>Muʿallâ ibn al-Faḍl, rapporté par Ibn Rajab, Laṭâʾif al-Maʿârif (récit des pieux prédécesseurs, pas un hadith)</v>
      </c>
      <c r="H13" s="44" t="str">
        <f>IF(OR(MISSIONS!$C15="",'MON SUIVI QUOTIDIEN'!$K$22=""),"",IF(MISSIONS!$C15&lt;='MON SUIVI QUOTIDIEN'!$K$22,"Active","À venir"))</f>
        <v/>
      </c>
    </row>
    <row r="14" ht="80" customHeight="1">
      <c r="B14" s="44">
        <f>IF(MISSIONS!$C16="","",INT((MISSIONS!$C16-1)/7)+1)</f>
        <v>3</v>
      </c>
      <c r="C14" s="44" t="str">
        <f>IF(MISSIONS!$C16="","","J"&amp;MISSIONS!$C16)</f>
        <v>J15</v>
      </c>
      <c r="D14" s="77" t="str">
        <f>IF(MISSIONS!$D16="","",MISSIONS!$D16)</f>
        <v>Réciter 3 fois la sourate al-Ikhlâs (matin et soir)</v>
      </c>
      <c r="E14" s="32" t="str">
        <f>IF(MISSIONS!$F16="","",MISSIONS!$F16)</f>
        <v>Le matin et le soir, 3 fois chaque fois. Une récitation équivaut à un tiers du Coran en récompense : 3 récitations en font donc l'équivalent d'un Coran entier. L'équivalence concerne la récompense : elle ne dispense pas de lire le Coran.</v>
      </c>
      <c r="F14" s="32" t="str">
        <f>IF(MISSIONS!$G16="","",MISSIONS!$G16)</f>
        <v>Le Prophète ﷺ a dit : « Par Celui qui tient mon âme dans Sa main, cette sourate (Dis : Il est Allah, Unique) équivaut à un tiers du Coran ! » (Trois récitations = trois tiers = un Coran entier en récompense.)</v>
      </c>
      <c r="G14" s="34" t="str">
        <f>IF(MISSIONS!$H16="","",MISSIONS!$H16)</f>
        <v>Boukhari 5013 ; Mouslim 811</v>
      </c>
      <c r="H14" s="44" t="str">
        <f>IF(OR(MISSIONS!$C16="",'MON SUIVI QUOTIDIEN'!$K$22=""),"",IF(MISSIONS!$C16&lt;='MON SUIVI QUOTIDIEN'!$K$22,"Active","À venir"))</f>
        <v/>
      </c>
    </row>
    <row r="15" ht="66.8" customHeight="1">
      <c r="B15" s="44">
        <f>IF(MISSIONS!$C17="","",INT((MISSIONS!$C17-1)/7)+1)</f>
        <v>4</v>
      </c>
      <c r="C15" s="44" t="str">
        <f>IF(MISSIONS!$C17="","","J"&amp;MISSIONS!$C17)</f>
        <v>J22</v>
      </c>
      <c r="D15" s="77" t="str">
        <f>IF(MISSIONS!$D17="","",MISSIONS!$D17)</f>
        <v>Réciter al-Falaq et an-Nâs (matin et soir)</v>
      </c>
      <c r="E15" s="32" t="str">
        <f>IF(MISSIONS!$F17="","",MISSIONS!$F17)</f>
        <v>Avec al-Ikhlâs que tu récites déjà : les trois dernières sourates, 3 fois le matin et le soir. Avant de dormir, souffle dans tes mains en les récitant puis passe-les sur ton corps.</v>
      </c>
      <c r="F15" s="32" t="str">
        <f>IF(MISSIONS!$G17="","",MISSIONS!$G17)</f>
        <v>Le Prophète ﷺ a dit : « Dis : « Il est Allah, Unique » et les deux protectrices (al-Falaq et an-Nâs) le soir et le matin, trois fois : cela te suffira contre tout. » Il les récitait aussi avant de dormir, puis passait ses mains sur son corps.</v>
      </c>
      <c r="G15" s="34" t="str">
        <f>IF(MISSIONS!$H17="","",MISSIONS!$H17)</f>
        <v>Abou Dawoud 5082 (hasan) ; Boukhari 5017</v>
      </c>
      <c r="H15" s="44" t="str">
        <f>IF(OR(MISSIONS!$C17="",'MON SUIVI QUOTIDIEN'!$K$22=""),"",IF(MISSIONS!$C17&lt;='MON SUIVI QUOTIDIEN'!$K$22,"Active","À venir"))</f>
        <v/>
      </c>
    </row>
    <row r="16" ht="53.6" customHeight="1">
      <c r="B16" s="44">
        <f>IF(MISSIONS!$C18="","",INT((MISSIONS!$C18-1)/7)+1)</f>
        <v>5</v>
      </c>
      <c r="C16" s="44" t="str">
        <f>IF(MISSIONS!$C18="","","J"&amp;MISSIONS!$C18)</f>
        <v>J29</v>
      </c>
      <c r="D16" s="77" t="str">
        <f>IF(MISSIONS!$D18="","",MISSIONS!$D18)</f>
        <v>Réciter Âyat al-Kursî avant de dormir</v>
      </c>
      <c r="E16" s="32" t="str">
        <f>IF(MISSIONS!$F18="","",MISSIONS!$F18)</f>
        <v>Avant de dormir, récite le verset 2:255 en entier (le verset du Trône).</v>
      </c>
      <c r="F16" s="32" t="str">
        <f>IF(MISSIONS!$G18="","",MISSIONS!$G18)</f>
        <v>Le Prophète ﷺ a confirmé la parole : « Quand tu vas te coucher, récite Âyat al-Kursî jusqu'à la fin : un gardien d'Allah restera auprès de toi et aucun démon ne s'approchera de toi jusqu'au matin. »</v>
      </c>
      <c r="G16" s="34" t="str">
        <f>IF(MISSIONS!$H18="","",MISSIONS!$H18)</f>
        <v>Boukhari 2311 ; Boukhari 5010</v>
      </c>
      <c r="H16" s="44" t="str">
        <f>IF(OR(MISSIONS!$C18="",'MON SUIVI QUOTIDIEN'!$K$22=""),"",IF(MISSIONS!$C18&lt;='MON SUIVI QUOTIDIEN'!$K$22,"Active","À venir"))</f>
        <v/>
      </c>
    </row>
    <row r="17" ht="93.2" customHeight="1">
      <c r="B17" s="44">
        <f>IF(MISSIONS!$C19="","",INT((MISSIONS!$C19-1)/7)+1)</f>
        <v>6</v>
      </c>
      <c r="C17" s="44" t="str">
        <f>IF(MISSIONS!$C19="","","J"&amp;MISSIONS!$C19)</f>
        <v>J36</v>
      </c>
      <c r="D17" s="77" t="str">
        <f>IF(MISSIONS!$D19="","",MISSIONS!$D19)</f>
        <v>Ablutions soignées puis témoignage de foi</v>
      </c>
      <c r="E17" s="32" t="str">
        <f>IF(MISSIONS!$F19="","",MISSIONS!$F19)</f>
        <v>Fais tes ablutions avec calme et soin, puis dis : « Ashhadu an lā ilāha illa Llāh waḥdahu lā sharīka lah, wa ashhadu anna Muḥammadan ʿabduhu wa rasūluh ».</v>
      </c>
      <c r="F17" s="32" t="str">
        <f>IF(MISSIONS!$G19="","",MISSIONS!$G19)</f>
        <v>Le Prophète ﷺ a dit : « Celui qui fait bien ses ablutions puis dit « J'atteste qu'il n'y a de divinité qu'Allah et que Muhammad est Son serviteur et Son Messager », les huit portes du Paradis lui sont ouvertes : il entre par celle qu'il veut. » Et : « Si un musulman fait bien ses ablutions puis prie deux rakʿât en y mettant son cœur et son visage, le Paradis lui est garanti. »</v>
      </c>
      <c r="G17" s="34" t="str">
        <f>IF(MISSIONS!$H19="","",MISSIONS!$H19)</f>
        <v>Mouslim 234</v>
      </c>
      <c r="H17" s="44" t="str">
        <f>IF(OR(MISSIONS!$C19="",'MON SUIVI QUOTIDIEN'!$K$22=""),"",IF(MISSIONS!$C19&lt;='MON SUIVI QUOTIDIEN'!$K$22,"Active","À venir"))</f>
        <v/>
      </c>
    </row>
    <row r="18" ht="80" customHeight="1">
      <c r="B18" s="44">
        <f>IF(MISSIONS!$C20="","",INT((MISSIONS!$C20-1)/7)+1)</f>
        <v>7</v>
      </c>
      <c r="C18" s="44" t="str">
        <f>IF(MISSIONS!$C20="","","J"&amp;MISSIONS!$C20)</f>
        <v>J43</v>
      </c>
      <c r="D18" s="77" t="str">
        <f>IF(MISSIONS!$D20="","",MISSIONS!$D20)</f>
        <v>Faire les adhkâr après chaque prière</v>
      </c>
      <c r="E18" s="32" t="str">
        <f>IF(MISSIONS!$F20="","",MISSIONS!$F20)</f>
        <v>Après chaque prière obligatoire : Subḥān Allāh ×33, al-ḥamdu lillāh ×33, Allāhu akbar ×33, puis « Lā ilāha illa Llāh waḥdahu lā sharīka lah, lahu l-mulku wa lahu l-ḥamd, wa huwa ʿalā kulli shay'in qadīr ». N/A les jours où tu n'as pas prié.</v>
      </c>
      <c r="F18" s="32" t="str">
        <f>IF(MISSIONS!$G20="","",MISSIONS!$G20)</f>
        <v>Le Prophète ﷺ a dit : « Celui qui glorifie Allah 33 fois, Le loue 33 fois et proclame Sa grandeur 33 fois après chaque prière, puis dit pour compléter la centaine « Lā ilāha illa Llāh… », ses péchés sont pardonnés, même s'ils sont comme l'écume de la mer. »</v>
      </c>
      <c r="G18" s="34" t="str">
        <f>IF(MISSIONS!$H20="","",MISSIONS!$H20)</f>
        <v>Mouslim 597</v>
      </c>
      <c r="H18" s="44" t="str">
        <f>IF(OR(MISSIONS!$C20="",'MON SUIVI QUOTIDIEN'!$K$22=""),"",IF(MISSIONS!$C20&lt;='MON SUIVI QUOTIDIEN'!$K$22,"Active","À venir"))</f>
        <v/>
      </c>
    </row>
    <row r="19" ht="66.8" customHeight="1">
      <c r="B19" s="44">
        <f>IF(MISSIONS!$C21="","",INT((MISSIONS!$C21-1)/7)+1)</f>
        <v>8</v>
      </c>
      <c r="C19" s="44" t="str">
        <f>IF(MISSIONS!$C21="","","J"&amp;MISSIONS!$C21)</f>
        <v>J50</v>
      </c>
      <c r="D19" s="77" t="str">
        <f>IF(MISSIONS!$D21="","",MISSIONS!$D21)</f>
        <v>Dire l'invocation en sortant de chez moi</v>
      </c>
      <c r="E19" s="32" t="str">
        <f>IF(MISSIONS!$F21="","",MISSIONS!$F21)</f>
        <v>En franchissant la porte : « Bismi Llāh, tawakkaltu ʿalā Llāh, lā ḥawla wa lā quwwata illā billāh ».</v>
      </c>
      <c r="F19" s="32" t="str">
        <f>IF(MISSIONS!$G21="","",MISSIONS!$G21)</f>
        <v>Le Prophète ﷺ a dit : « Quand l'homme sort de chez lui et dit : « Au nom d'Allah, je place ma confiance en Allah, il n'y a de force ni de puissance qu'en Allah », on lui dit : « Tu es guidé, défendu et protégé. » Les démons s'éloignent de lui. »</v>
      </c>
      <c r="G19" s="34" t="str">
        <f>IF(MISSIONS!$H21="","",MISSIONS!$H21)</f>
        <v>Abou Dawoud 5095 (sahih)</v>
      </c>
      <c r="H19" s="44" t="str">
        <f>IF(OR(MISSIONS!$C21="",'MON SUIVI QUOTIDIEN'!$K$22=""),"",IF(MISSIONS!$C21&lt;='MON SUIVI QUOTIDIEN'!$K$22,"Active","À venir"))</f>
        <v/>
      </c>
    </row>
    <row r="20" ht="53.6" customHeight="1">
      <c r="B20" s="44">
        <f>IF(MISSIONS!$C22="","",INT((MISSIONS!$C22-1)/7)+1)</f>
        <v>9</v>
      </c>
      <c r="C20" s="44" t="str">
        <f>IF(MISSIONS!$C22="","","J"&amp;MISSIONS!$C22)</f>
        <v>J57</v>
      </c>
      <c r="D20" s="77" t="str">
        <f>IF(MISSIONS!$D22="","",MISSIONS!$D22)</f>
        <v>Prier en groupe quand c'est possible</v>
      </c>
      <c r="E20" s="32" t="str">
        <f>IF(MISSIONS!$F22="","",MISSIONS!$F22)</f>
        <v>Commence par une prière par jour (par exemple Fajr ou ʿIshâ). Si tu ne peux pas aujourd'hui (travail, maladie, voyage), marque N/A : tu n'es pas pénalisé.</v>
      </c>
      <c r="F20" s="32" t="str">
        <f>IF(MISSIONS!$G22="","",MISSIONS!$G22)</f>
        <v>Le Prophète ﷺ a dit : « La prière en groupe est supérieure de vingt-sept degrés à la prière accomplie seul. »</v>
      </c>
      <c r="G20" s="34" t="str">
        <f>IF(MISSIONS!$H22="","",MISSIONS!$H22)</f>
        <v>Boukhari 645 ; Mouslim 650</v>
      </c>
      <c r="H20" s="44" t="str">
        <f>IF(OR(MISSIONS!$C22="",'MON SUIVI QUOTIDIEN'!$K$22=""),"",IF(MISSIONS!$C22&lt;='MON SUIVI QUOTIDIEN'!$K$22,"Active","À venir"))</f>
        <v/>
      </c>
    </row>
    <row r="21" ht="53.6" customHeight="1">
      <c r="B21" s="44">
        <f>IF(MISSIONS!$C23="","",INT((MISSIONS!$C23-1)/7)+1)</f>
        <v>10</v>
      </c>
      <c r="C21" s="44" t="str">
        <f>IF(MISSIONS!$C23="","","J"&amp;MISSIONS!$C23)</f>
        <v>J64</v>
      </c>
      <c r="D21" s="77" t="str">
        <f>IF(MISSIONS!$D23="","",MISSIONS!$D23)</f>
        <v>Ablutions à la maison puis marche vers la prière</v>
      </c>
      <c r="E21" s="32" t="str">
        <f>IF(MISSIONS!$F23="","",MISSIONS!$F23)</f>
        <v>Fais tes ablutions chez toi, puis marche vers la mosquée. Si tu ne peux pas aller à la mosquée aujourd'hui, marque N/A.</v>
      </c>
      <c r="F21" s="32" t="str">
        <f>IF(MISSIONS!$G23="","",MISSIONS!$G23)</f>
        <v>Le Prophète ﷺ a dit : « Celui qui se purifie chez lui puis marche vers l'une des maisons d'Allah pour accomplir une des obligations d'Allah, chacun de ses deux pas fait tomber un péché et élève d'un degré. »</v>
      </c>
      <c r="G21" s="34" t="str">
        <f>IF(MISSIONS!$H23="","",MISSIONS!$H23)</f>
        <v>Mouslim 666</v>
      </c>
      <c r="H21" s="44" t="str">
        <f>IF(OR(MISSIONS!$C23="",'MON SUIVI QUOTIDIEN'!$K$22=""),"",IF(MISSIONS!$C23&lt;='MON SUIVI QUOTIDIEN'!$K$22,"Active","À venir"))</f>
        <v/>
      </c>
    </row>
    <row r="22" ht="66.8" customHeight="1">
      <c r="B22" s="44">
        <f>IF(MISSIONS!$C24="","",INT((MISSIONS!$C24-1)/7)+1)</f>
        <v>11</v>
      </c>
      <c r="C22" s="44" t="str">
        <f>IF(MISSIONS!$C24="","","J"&amp;MISSIONS!$C24)</f>
        <v>J71</v>
      </c>
      <c r="D22" s="77" t="str">
        <f>IF(MISSIONS!$D24="","",MISSIONS!$D24)</f>
        <v>Prier les 12 rakʿât de sunna (rawâtib)</v>
      </c>
      <c r="E22" s="32" t="str">
        <f>IF(MISSIONS!$F24="","",MISSIONS!$F24)</f>
        <v>Deux avant Fajr, quatre avant Dhuhr, deux après Dhuhr, deux après Maghrib, deux après ʿIshâ. Commence par celles que tu peux tenir (par exemple Fajr) et ajoute les autres peu à peu.</v>
      </c>
      <c r="F22" s="32" t="str">
        <f>IF(MISSIONS!$G24="","",MISSIONS!$G24)</f>
        <v>Le Prophète ﷺ a dit : « Quiconque prie douze rakʿât dans le jour et la nuit, une maison lui sera construite au Paradis. » Les deux rakʿât de Fajr : « meilleures que ce bas monde et tout ce qu'il contient » (Mouslim 725).</v>
      </c>
      <c r="G22" s="34" t="str">
        <f>IF(MISSIONS!$H24="","",MISSIONS!$H24)</f>
        <v>Mouslim 728 ; Mouslim 725</v>
      </c>
      <c r="H22" s="44" t="str">
        <f>IF(OR(MISSIONS!$C24="",'MON SUIVI QUOTIDIEN'!$K$22=""),"",IF(MISSIONS!$C24&lt;='MON SUIVI QUOTIDIEN'!$K$22,"Active","À venir"))</f>
        <v/>
      </c>
    </row>
    <row r="23" ht="53.6" customHeight="1">
      <c r="B23" s="44">
        <f>IF(MISSIONS!$C25="","",INT((MISSIONS!$C25-1)/7)+1)</f>
        <v>12</v>
      </c>
      <c r="C23" s="44" t="str">
        <f>IF(MISSIONS!$C25="","","J"&amp;MISSIONS!$C25)</f>
        <v>J78</v>
      </c>
      <c r="D23" s="77" t="str">
        <f>IF(MISSIONS!$D25="","",MISSIONS!$D25)</f>
        <v>Prier 2 rakʿât de Duḥâ</v>
      </c>
      <c r="E23" s="32" t="str">
        <f>IF(MISSIONS!$F25="","",MISSIONS!$F25)</f>
        <v>Dans la matinée, après le lever du soleil et avant la mi-journée, même brièvement.</v>
      </c>
      <c r="F23" s="32" t="str">
        <f>IF(MISSIONS!$G25="","",MISSIONS!$G25)</f>
        <v>Le Prophète ﷺ a dit : « Chaque matin, une aumône est due pour chacune de vos articulations… et deux rakʿât que l'on prie à l'heure de Duḥâ suffisent. »</v>
      </c>
      <c r="G23" s="34" t="str">
        <f>IF(MISSIONS!$H25="","",MISSIONS!$H25)</f>
        <v>Mouslim 720</v>
      </c>
      <c r="H23" s="44" t="str">
        <f>IF(OR(MISSIONS!$C25="",'MON SUIVI QUOTIDIEN'!$K$22=""),"",IF(MISSIONS!$C25&lt;='MON SUIVI QUOTIDIEN'!$K$22,"Active","À venir"))</f>
        <v/>
      </c>
    </row>
    <row r="24" ht="53.6" customHeight="1">
      <c r="B24" s="44">
        <f>IF(MISSIONS!$C26="","",INT((MISSIONS!$C26-1)/7)+1)</f>
        <v>13</v>
      </c>
      <c r="C24" s="44" t="str">
        <f>IF(MISSIONS!$C26="","","J"&amp;MISSIONS!$C26)</f>
        <v>J85</v>
      </c>
      <c r="D24" s="77" t="str">
        <f>IF(MISSIONS!$D26="","",MISSIONS!$D26)</f>
        <v>Utiliser le siwâk avant la prière</v>
      </c>
      <c r="E24" s="32" t="str">
        <f>IF(MISSIONS!$F26="","",MISSIONS!$F26)</f>
        <v>Ou te brosser les dents. Une habitude simple qui soigne ton corps et ta bouche avant de te présenter devant Allah.</v>
      </c>
      <c r="F24" s="32" t="str">
        <f>IF(MISSIONS!$G26="","",MISSIONS!$G26)</f>
        <v>Le Prophète ﷺ a dit : « Si cela n'était pas difficile pour ma communauté, je leur aurais ordonné le siwâk à chaque prière. »</v>
      </c>
      <c r="G24" s="34" t="str">
        <f>IF(MISSIONS!$H26="","",MISSIONS!$H26)</f>
        <v>Boukhari 887</v>
      </c>
      <c r="H24" s="44" t="str">
        <f>IF(OR(MISSIONS!$C26="",'MON SUIVI QUOTIDIEN'!$K$22=""),"",IF(MISSIONS!$C26&lt;='MON SUIVI QUOTIDIEN'!$K$22,"Active","À venir"))</f>
        <v/>
      </c>
    </row>
    <row r="25" ht="66.8" customHeight="1">
      <c r="B25" s="44">
        <f>IF(MISSIONS!$C27="","",INT((MISSIONS!$C27-1)/7)+1)</f>
        <v>14</v>
      </c>
      <c r="C25" s="44" t="str">
        <f>IF(MISSIONS!$C27="","","J"&amp;MISSIONS!$C27)</f>
        <v>J92</v>
      </c>
      <c r="D25" s="77" t="str">
        <f>IF(MISSIONS!$D27="","",MISSIONS!$D27)</f>
        <v>Jeûner le lundi ou le jeudi</v>
      </c>
      <c r="E25" s="32" t="str">
        <f>IF(MISSIONS!$F27="","",MISSIONS!$F27)</f>
        <v>Choisis un des deux jours, une fois par semaine. Les autres jours, marque N/A. Si tu es diabétique, sous traitement ou malade, demande d'abord l'avis de ton médecin.</v>
      </c>
      <c r="F25" s="32" t="str">
        <f>IF(MISSIONS!$G27="","",MISSIONS!$G27)</f>
        <v>Le Prophète ﷺ a dit : « Les actes sont présentés (à Allah) le lundi et le jeudi, et j'aime que mes actes soient présentés alors que je jeûne. » Et : « Les portes du Paradis sont ouvertes le lundi et le jeudi… »</v>
      </c>
      <c r="G25" s="34" t="str">
        <f>IF(MISSIONS!$H27="","",MISSIONS!$H27)</f>
        <v>At-Tirmidhi 747 (hasan) ; Mouslim 2565</v>
      </c>
      <c r="H25" s="44" t="str">
        <f>IF(OR(MISSIONS!$C27="",'MON SUIVI QUOTIDIEN'!$K$22=""),"",IF(MISSIONS!$C27&lt;='MON SUIVI QUOTIDIEN'!$K$22,"Active","À venir"))</f>
        <v/>
      </c>
    </row>
    <row r="26" ht="53.6" customHeight="1">
      <c r="B26" s="44">
        <f>IF(MISSIONS!$C28="","",INT((MISSIONS!$C28-1)/7)+1)</f>
        <v>15</v>
      </c>
      <c r="C26" s="44" t="str">
        <f>IF(MISSIONS!$C28="","","J"&amp;MISSIONS!$C28)</f>
        <v>J99</v>
      </c>
      <c r="D26" s="77" t="str">
        <f>IF(MISSIONS!$D28="","",MISSIONS!$D28)</f>
        <v>Boire de l'eau en trois gorgées, en reprenant ton souffle</v>
      </c>
      <c r="E26" s="32" t="str">
        <f>IF(MISSIONS!$F28="","",MISSIONS!$F28)</f>
        <v>Assis, par petites gorgées, en respirant hors du verre. Cette mission accompagne ton objectif d'hydratation de l'onglet SUIVI.</v>
      </c>
      <c r="F26" s="32" t="str">
        <f>IF(MISSIONS!$G28="","",MISSIONS!$G28)</f>
        <v>Anas rapporte que le Prophète ﷺ respirait trois fois en buvant. L'eau fait partie des bienfaits : « Nous avons fait de l'eau toute chose vivante » (Coran 21:30).</v>
      </c>
      <c r="G26" s="34" t="str">
        <f>IF(MISSIONS!$H28="","",MISSIONS!$H28)</f>
        <v>Mouslim 2028</v>
      </c>
      <c r="H26" s="44" t="str">
        <f>IF(OR(MISSIONS!$C28="",'MON SUIVI QUOTIDIEN'!$K$22=""),"",IF(MISSIONS!$C28&lt;='MON SUIVI QUOTIDIEN'!$K$22,"Active","À venir"))</f>
        <v/>
      </c>
    </row>
    <row r="27" ht="66.8" customHeight="1">
      <c r="B27" s="44">
        <f>IF(MISSIONS!$C29="","",INT((MISSIONS!$C29-1)/7)+1)</f>
        <v>16</v>
      </c>
      <c r="C27" s="44" t="str">
        <f>IF(MISSIONS!$C29="","","J"&amp;MISSIONS!$C29)</f>
        <v>J106</v>
      </c>
      <c r="D27" s="77" t="str">
        <f>IF(MISSIONS!$D29="","",MISSIONS!$D29)</f>
        <v>Manger avec mesure : s'arrêter avant d'être plein</v>
      </c>
      <c r="E27" s="32" t="str">
        <f>IF(MISSIONS!$F29="","",MISSIONS!$F29)</f>
        <v>Un principe de mesure, pas un régime ni un nombre de repas. Pose ta fourchette quand tu n'as plus faim, pas quand l'assiette est vide.</v>
      </c>
      <c r="F27" s="32" t="str">
        <f>IF(MISSIONS!$G29="","",MISSIONS!$G29)</f>
        <v>Le Prophète ﷺ a dit : « Le fils d'Adam ne remplit pas de récipient pire que son ventre. Il lui suffit de quelques bouchées qui tiennent son dos droit. S'il faut absolument plus : un tiers pour sa nourriture, un tiers pour sa boisson et un tiers pour son souffle. »</v>
      </c>
      <c r="G27" s="34" t="str">
        <f>IF(MISSIONS!$H29="","",MISSIONS!$H29)</f>
        <v>At-Tirmidhi 2380 (sahih)</v>
      </c>
      <c r="H27" s="44" t="str">
        <f>IF(OR(MISSIONS!$C29="",'MON SUIVI QUOTIDIEN'!$K$22=""),"",IF(MISSIONS!$C29&lt;='MON SUIVI QUOTIDIEN'!$K$22,"Active","À venir"))</f>
        <v/>
      </c>
    </row>
    <row r="28" ht="80" customHeight="1">
      <c r="B28" s="44">
        <f>IF(MISSIONS!$C30="","",INT((MISSIONS!$C30-1)/7)+1)</f>
        <v>17</v>
      </c>
      <c r="C28" s="44" t="str">
        <f>IF(MISSIONS!$C30="","","J"&amp;MISSIONS!$C30)</f>
        <v>J113</v>
      </c>
      <c r="D28" s="77" t="str">
        <f>IF(MISSIONS!$D30="","",MISSIONS!$D30)</f>
        <v>Dormir en état de pureté, sur le côté droit</v>
      </c>
      <c r="E28" s="32" t="str">
        <f>IF(MISSIONS!$F30="","",MISSIONS!$F30)</f>
        <v>Ablutions avant de dormir, coucher sur le côté droit, adhkâr du soir. Ils se lient à ton objectif de sommeil de l'onglet SUIVI.</v>
      </c>
      <c r="F28" s="32" t="str">
        <f>IF(MISSIONS!$G30="","",MISSIONS!$G30)</f>
        <v>Le Prophète ﷺ a dit : « Quand tu vas te coucher, fais tes ablutions comme pour la prière, couche-toi sur ton côté droit et dis l'invocation : « Ô Allah, je Te soumets mon visage… ». Si tu meurs cette nuit-là, tu mourras sur la foi. Que ce soient les dernières paroles que tu dis. »</v>
      </c>
      <c r="G28" s="34" t="str">
        <f>IF(MISSIONS!$H30="","",MISSIONS!$H30)</f>
        <v>Boukhari 247</v>
      </c>
      <c r="H28" s="44" t="str">
        <f>IF(OR(MISSIONS!$C30="",'MON SUIVI QUOTIDIEN'!$K$22=""),"",IF(MISSIONS!$C30&lt;='MON SUIVI QUOTIDIEN'!$K$22,"Active","À venir"))</f>
        <v/>
      </c>
    </row>
    <row r="29" ht="66.8" customHeight="1">
      <c r="B29" s="44">
        <f>IF(MISSIONS!$C31="","",INT((MISSIONS!$C31-1)/7)+1)</f>
        <v>18</v>
      </c>
      <c r="C29" s="44" t="str">
        <f>IF(MISSIONS!$C31="","","J"&amp;MISSIONS!$C31)</f>
        <v>J120</v>
      </c>
      <c r="D29" s="77" t="str">
        <f>IF(MISSIONS!$D31="","",MISSIONS!$D31)</f>
        <v>Bouger au moins 20 minutes</v>
      </c>
      <c r="E29" s="32" t="str">
        <f>IF(MISSIONS!$F31="","",MISSIONS!$F31)</f>
        <v>Marche, renforcement, sport : adapte à tes capacités. La force dont parle le hadith est d'abord celle de la foi ; prendre soin de ton corps la soutient.</v>
      </c>
      <c r="F29" s="32" t="str">
        <f>IF(MISSIONS!$G31="","",MISSIONS!$G31)</f>
        <v>Le Prophète ﷺ a dit : « Le croyant fort est meilleur et plus aimé d'Allah que le croyant faible, et il y a du bien en chacun. » Et : « Préparez contre eux autant de force que vous pouvez. Certes, la force est dans le tir. »</v>
      </c>
      <c r="G29" s="34" t="str">
        <f>IF(MISSIONS!$H31="","",MISSIONS!$H31)</f>
        <v>Mouslim 2664 ; Mouslim 1917</v>
      </c>
      <c r="H29" s="44" t="str">
        <f>IF(OR(MISSIONS!$C31="",'MON SUIVI QUOTIDIEN'!$K$22=""),"",IF(MISSIONS!$C31&lt;='MON SUIVI QUOTIDIEN'!$K$22,"Active","À venir"))</f>
        <v/>
      </c>
    </row>
    <row r="30" ht="40.4" customHeight="1">
      <c r="B30" s="44">
        <f>IF(MISSIONS!$C32="","",INT((MISSIONS!$C32-1)/7)+1)</f>
        <v>19</v>
      </c>
      <c r="C30" s="44" t="str">
        <f>IF(MISSIONS!$C32="","","J"&amp;MISSIONS!$C32)</f>
        <v>J127</v>
      </c>
      <c r="D30" s="77" t="str">
        <f>IF(MISSIONS!$D32="","",MISSIONS!$D32)</f>
        <v>Donner une aumône, même petite</v>
      </c>
      <c r="E30" s="32" t="str">
        <f>IF(MISSIONS!$F32="","",MISSIONS!$F32)</f>
        <v>Une pièce, un repas, un service : le but est de ne pas laisser passer la journée sans donner.</v>
      </c>
      <c r="F30" s="32" t="str">
        <f>IF(MISSIONS!$G32="","",MISSIONS!$G32)</f>
        <v>Le Prophète ﷺ a dit : « Protégez-vous du Feu, ne serait-ce qu'avec une demi-datte. »</v>
      </c>
      <c r="G30" s="34" t="str">
        <f>IF(MISSIONS!$H32="","",MISSIONS!$H32)</f>
        <v>Boukhari 1417</v>
      </c>
      <c r="H30" s="44" t="str">
        <f>IF(OR(MISSIONS!$C32="",'MON SUIVI QUOTIDIEN'!$K$22=""),"",IF(MISSIONS!$C32&lt;='MON SUIVI QUOTIDIEN'!$K$22,"Active","À venir"))</f>
        <v/>
      </c>
    </row>
    <row r="31" ht="40.4" customHeight="1">
      <c r="B31" s="44">
        <f>IF(MISSIONS!$C33="","",INT((MISSIONS!$C33-1)/7)+1)</f>
        <v>20</v>
      </c>
      <c r="C31" s="44" t="str">
        <f>IF(MISSIONS!$C33="","","J"&amp;MISSIONS!$C33)</f>
        <v>J134</v>
      </c>
      <c r="D31" s="77" t="str">
        <f>IF(MISSIONS!$D33="","",MISSIONS!$D33)</f>
        <v>Appeler ou visiter un proche</v>
      </c>
      <c r="E31" s="32" t="str">
        <f>IF(MISSIONS!$F33="","",MISSIONS!$F33)</f>
        <v>Un appel, un message, une visite : entretiens les liens avec tes parents, ta famille, tes amis.</v>
      </c>
      <c r="F31" s="32" t="str">
        <f>IF(MISSIONS!$G33="","",MISSIONS!$G33)</f>
        <v>Le Prophète ﷺ a dit : « Celui qui aime que sa subsistance soit élargie et sa vie prolongée, qu'il entretienne les liens de parenté. »</v>
      </c>
      <c r="G31" s="34" t="str">
        <f>IF(MISSIONS!$H33="","",MISSIONS!$H33)</f>
        <v>Boukhari 5985 ; Mouslim 2557</v>
      </c>
      <c r="H31" s="44" t="str">
        <f>IF(OR(MISSIONS!$C33="",'MON SUIVI QUOTIDIEN'!$K$22=""),"",IF(MISSIONS!$C33&lt;='MON SUIVI QUOTIDIEN'!$K$22,"Active","À venir"))</f>
        <v/>
      </c>
    </row>
    <row r="32" ht="80" customHeight="1">
      <c r="B32" s="44">
        <f>IF(MISSIONS!$C34="","",INT((MISSIONS!$C34-1)/7)+1)</f>
        <v>21</v>
      </c>
      <c r="C32" s="44" t="str">
        <f>IF(MISSIONS!$C34="","","J"&amp;MISSIONS!$C34)</f>
        <v>J141</v>
      </c>
      <c r="D32" s="77" t="str">
        <f>IF(MISSIONS!$D34="","",MISSIONS!$D34)</f>
        <v>Me lever pour la prière de nuit (même 2 rakʿât)</v>
      </c>
      <c r="E32" s="32" t="str">
        <f>IF(MISSIONS!$F34="","",MISSIONS!$F34)</f>
        <v>Commence par deux rakʿât et le witr, une quinzaine de minutes avant Fajr. N/A si ce n'est pas possible aujourd'hui.</v>
      </c>
      <c r="F32" s="32" t="str">
        <f>IF(MISSIONS!$G34="","",MISSIONS!$G34)</f>
        <v>Le Prophète ﷺ a dit : « Notre Seigneur descend chaque nuit au ciel le plus proche, quand reste le dernier tiers de la nuit, et dit : « Y a-t-il quelqu'un qui M'invoque, que Je lui réponde ? Quelqu'un qui Me demande, que Je lui donne ? Quelqu'un qui demande Mon pardon, que Je lui pardonne ? » »</v>
      </c>
      <c r="G32" s="34" t="str">
        <f>IF(MISSIONS!$H34="","",MISSIONS!$H34)</f>
        <v>Boukhari 1145 ; Mouslim 758</v>
      </c>
      <c r="H32" s="44" t="str">
        <f>IF(OR(MISSIONS!$C34="",'MON SUIVI QUOTIDIEN'!$K$22=""),"",IF(MISSIONS!$C34&lt;='MON SUIVI QUOTIDIEN'!$K$22,"Active","À venir"))</f>
        <v/>
      </c>
    </row>
    <row r="33" ht="40.4" customHeight="1">
      <c r="B33" s="44">
        <f>IF(MISSIONS!$C35="","",INT((MISSIONS!$C35-1)/7)+1)</f>
        <v>22</v>
      </c>
      <c r="C33" s="44" t="str">
        <f>IF(MISSIONS!$C35="","","J"&amp;MISSIONS!$C35)</f>
        <v>J148</v>
      </c>
      <c r="D33" s="77" t="str">
        <f>IF(MISSIONS!$D35="","",MISSIONS!$D35)</f>
        <v>Apprendre un verset par cœur et l'expliquer</v>
      </c>
      <c r="E33" s="32" t="str">
        <f>IF(MISSIONS!$F35="","",MISSIONS!$F35)</f>
        <v>Choisis un verset de ta semaine, mémorise-le et explique-le à un proche ou à tes enfants.</v>
      </c>
      <c r="F33" s="32" t="str">
        <f>IF(MISSIONS!$G35="","",MISSIONS!$G35)</f>
        <v>Le Prophète ﷺ a dit : « Les meilleurs d'entre vous sont ceux qui apprennent le Coran et l'enseignent. »</v>
      </c>
      <c r="G33" s="34" t="str">
        <f>IF(MISSIONS!$H35="","",MISSIONS!$H35)</f>
        <v>Boukhari 5027</v>
      </c>
      <c r="H33" s="44" t="str">
        <f>IF(OR(MISSIONS!$C35="",'MON SUIVI QUOTIDIEN'!$K$22=""),"",IF(MISSIONS!$C35&lt;='MON SUIVI QUOTIDIEN'!$K$22,"Active","À venir"))</f>
        <v/>
      </c>
    </row>
    <row r="34" ht="53.6" customHeight="1">
      <c r="B34" s="44">
        <f>IF(MISSIONS!$C36="","",INT((MISSIONS!$C36-1)/7)+1)</f>
        <v>23</v>
      </c>
      <c r="C34" s="44" t="str">
        <f>IF(MISSIONS!$C36="","","J"&amp;MISSIONS!$C36)</f>
        <v>J155</v>
      </c>
      <c r="D34" s="77" t="str">
        <f>IF(MISSIONS!$D36="","",MISSIONS!$D36)</f>
        <v>Nourrir un jeûneur ou partager un repas</v>
      </c>
      <c r="E34" s="32" t="str">
        <f>IF(MISSIONS!$F36="","",MISSIONS!$F36)</f>
        <v>Un lundi ou un jeudi, invite un proche ou envoie-lui un repas pour la rupture du jeûne. N/A les autres jours.</v>
      </c>
      <c r="F34" s="32" t="str">
        <f>IF(MISSIONS!$G36="","",MISSIONS!$G36)</f>
        <v>Le Prophète ﷺ a dit : « Celui qui donne à manger à un jeûneur pour rompre son jeûne aura la même récompense que lui, sans que la récompense du jeûneur ne diminue en rien. »</v>
      </c>
      <c r="G34" s="34" t="str">
        <f>IF(MISSIONS!$H36="","",MISSIONS!$H36)</f>
        <v>At-Tirmidhi 807 (sahih)</v>
      </c>
      <c r="H34" s="44" t="str">
        <f>IF(OR(MISSIONS!$C36="",'MON SUIVI QUOTIDIEN'!$K$22=""),"",IF(MISSIONS!$C36&lt;='MON SUIVI QUOTIDIEN'!$K$22,"Active","À venir"))</f>
        <v/>
      </c>
    </row>
    <row r="35" ht="106.4" customHeight="1">
      <c r="B35" s="44">
        <f>IF(MISSIONS!$C37="","",INT((MISSIONS!$C37-1)/7)+1)</f>
        <v>24</v>
      </c>
      <c r="C35" s="44" t="str">
        <f>IF(MISSIONS!$C37="","","J"&amp;MISSIONS!$C37)</f>
        <v>J162</v>
      </c>
      <c r="D35" s="77" t="str">
        <f>IF(MISSIONS!$D37="","",MISSIONS!$D37)</f>
        <v>Demander pardon à ceux que j'ai lésés</v>
      </c>
      <c r="E35" s="32" t="str">
        <f>IF(MISSIONS!$F37="","",MISSIONS!$F37)</f>
        <v>À faire avant d'entrer dans le Ramadan : réconcilie-toi, rembourse ce que tu dois. Une fois que tu es en paix avec les gens, le Ramadan peut commencer. Et prépare ta prière de nuit pour le Ramadan (Boukhari 37 : « Celui qui accomplit la prière de nuit en Ramadan avec foi et en espérant la récompense, ses péchés passés lui sont pardonnés »).</v>
      </c>
      <c r="F35" s="32" t="str">
        <f>IF(MISSIONS!$G37="","",MISSIONS!$G37)</f>
        <v>Le Prophète ﷺ a dit : « Celui qui a lésé son frère dans son honneur ou autrement, qu'il lui demande pardon dès aujourd'hui, avant le jour où il n'y aura ni dinar ni dirham : on prendra de ses bonnes actions à hauteur de son injustice. »</v>
      </c>
      <c r="G35" s="34" t="str">
        <f>IF(MISSIONS!$H37="","",MISSIONS!$H37)</f>
        <v>Boukhari 2449 ; Boukhari 37</v>
      </c>
      <c r="H35" s="44" t="str">
        <f>IF(OR(MISSIONS!$C37="",'MON SUIVI QUOTIDIEN'!$K$22=""),"",IF(MISSIONS!$C37&lt;='MON SUIVI QUOTIDIEN'!$K$22,"Active","À venir"))</f>
        <v/>
      </c>
    </row>
    <row r="36" ht="18" customHeight="1">
      <c r="B36" s="44" t="str">
        <f>IF(MISSIONS!$C38="","",INT((MISSIONS!$C38-1)/7)+1)</f>
        <v/>
      </c>
      <c r="C36" s="44" t="str">
        <f>IF(MISSIONS!$C38="","","J"&amp;MISSIONS!$C38)</f>
        <v/>
      </c>
      <c r="D36" s="77" t="str">
        <f>IF(MISSIONS!$D38="","",MISSIONS!$D38)</f>
        <v/>
      </c>
      <c r="E36" s="32" t="str">
        <f>IF(MISSIONS!$F38="","",MISSIONS!$F38)</f>
        <v/>
      </c>
      <c r="F36" s="32" t="str">
        <f>IF(MISSIONS!$G38="","",MISSIONS!$G38)</f>
        <v/>
      </c>
      <c r="G36" s="34" t="str">
        <f>IF(MISSIONS!$H38="","",MISSIONS!$H38)</f>
        <v/>
      </c>
      <c r="H36" s="44" t="str">
        <f>IF(OR(MISSIONS!$C38="",'MON SUIVI QUOTIDIEN'!$K$22=""),"",IF(MISSIONS!$C38&lt;='MON SUIVI QUOTIDIEN'!$K$22,"Active","À venir"))</f>
        <v/>
      </c>
    </row>
    <row r="37" ht="18" customHeight="1">
      <c r="B37" s="44" t="str">
        <f>IF(MISSIONS!$C39="","",INT((MISSIONS!$C39-1)/7)+1)</f>
        <v/>
      </c>
      <c r="C37" s="44" t="str">
        <f>IF(MISSIONS!$C39="","","J"&amp;MISSIONS!$C39)</f>
        <v/>
      </c>
      <c r="D37" s="77" t="str">
        <f>IF(MISSIONS!$D39="","",MISSIONS!$D39)</f>
        <v/>
      </c>
      <c r="E37" s="32" t="str">
        <f>IF(MISSIONS!$F39="","",MISSIONS!$F39)</f>
        <v/>
      </c>
      <c r="F37" s="32" t="str">
        <f>IF(MISSIONS!$G39="","",MISSIONS!$G39)</f>
        <v/>
      </c>
      <c r="G37" s="34" t="str">
        <f>IF(MISSIONS!$H39="","",MISSIONS!$H39)</f>
        <v/>
      </c>
      <c r="H37" s="44" t="str">
        <f>IF(OR(MISSIONS!$C39="",'MON SUIVI QUOTIDIEN'!$K$22=""),"",IF(MISSIONS!$C39&lt;='MON SUIVI QUOTIDIEN'!$K$22,"Active","À venir"))</f>
        <v/>
      </c>
    </row>
    <row r="38" ht="18" customHeight="1">
      <c r="B38" s="44" t="str">
        <f>IF(MISSIONS!$C40="","",INT((MISSIONS!$C40-1)/7)+1)</f>
        <v/>
      </c>
      <c r="C38" s="44" t="str">
        <f>IF(MISSIONS!$C40="","","J"&amp;MISSIONS!$C40)</f>
        <v/>
      </c>
      <c r="D38" s="77" t="str">
        <f>IF(MISSIONS!$D40="","",MISSIONS!$D40)</f>
        <v/>
      </c>
      <c r="E38" s="32" t="str">
        <f>IF(MISSIONS!$F40="","",MISSIONS!$F40)</f>
        <v/>
      </c>
      <c r="F38" s="32" t="str">
        <f>IF(MISSIONS!$G40="","",MISSIONS!$G40)</f>
        <v/>
      </c>
      <c r="G38" s="34" t="str">
        <f>IF(MISSIONS!$H40="","",MISSIONS!$H40)</f>
        <v/>
      </c>
      <c r="H38" s="44" t="str">
        <f>IF(OR(MISSIONS!$C40="",'MON SUIVI QUOTIDIEN'!$K$22=""),"",IF(MISSIONS!$C40&lt;='MON SUIVI QUOTIDIEN'!$K$22,"Active","À venir"))</f>
        <v/>
      </c>
    </row>
    <row r="39" ht="18" customHeight="1">
      <c r="B39" s="44" t="str">
        <f>IF(MISSIONS!$C41="","",INT((MISSIONS!$C41-1)/7)+1)</f>
        <v/>
      </c>
      <c r="C39" s="44" t="str">
        <f>IF(MISSIONS!$C41="","","J"&amp;MISSIONS!$C41)</f>
        <v/>
      </c>
      <c r="D39" s="77" t="str">
        <f>IF(MISSIONS!$D41="","",MISSIONS!$D41)</f>
        <v/>
      </c>
      <c r="E39" s="32" t="str">
        <f>IF(MISSIONS!$F41="","",MISSIONS!$F41)</f>
        <v/>
      </c>
      <c r="F39" s="32" t="str">
        <f>IF(MISSIONS!$G41="","",MISSIONS!$G41)</f>
        <v/>
      </c>
      <c r="G39" s="34" t="str">
        <f>IF(MISSIONS!$H41="","",MISSIONS!$H41)</f>
        <v/>
      </c>
      <c r="H39" s="44" t="str">
        <f>IF(OR(MISSIONS!$C41="",'MON SUIVI QUOTIDIEN'!$K$22=""),"",IF(MISSIONS!$C41&lt;='MON SUIVI QUOTIDIEN'!$K$22,"Active","À venir"))</f>
        <v/>
      </c>
    </row>
    <row r="40" ht="18" customHeight="1">
      <c r="B40" s="44" t="str">
        <f>IF(MISSIONS!$C42="","",INT((MISSIONS!$C42-1)/7)+1)</f>
        <v/>
      </c>
      <c r="C40" s="44" t="str">
        <f>IF(MISSIONS!$C42="","","J"&amp;MISSIONS!$C42)</f>
        <v/>
      </c>
      <c r="D40" s="77" t="str">
        <f>IF(MISSIONS!$D42="","",MISSIONS!$D42)</f>
        <v/>
      </c>
      <c r="E40" s="32" t="str">
        <f>IF(MISSIONS!$F42="","",MISSIONS!$F42)</f>
        <v/>
      </c>
      <c r="F40" s="32" t="str">
        <f>IF(MISSIONS!$G42="","",MISSIONS!$G42)</f>
        <v/>
      </c>
      <c r="G40" s="34" t="str">
        <f>IF(MISSIONS!$H42="","",MISSIONS!$H42)</f>
        <v/>
      </c>
      <c r="H40" s="44" t="str">
        <f>IF(OR(MISSIONS!$C42="",'MON SUIVI QUOTIDIEN'!$K$22=""),"",IF(MISSIONS!$C42&lt;='MON SUIVI QUOTIDIEN'!$K$22,"Active","À venir"))</f>
        <v/>
      </c>
    </row>
    <row r="41" ht="18" customHeight="1">
      <c r="B41" s="44" t="str">
        <f>IF(MISSIONS!$C43="","",INT((MISSIONS!$C43-1)/7)+1)</f>
        <v/>
      </c>
      <c r="C41" s="44" t="str">
        <f>IF(MISSIONS!$C43="","","J"&amp;MISSIONS!$C43)</f>
        <v/>
      </c>
      <c r="D41" s="77" t="str">
        <f>IF(MISSIONS!$D43="","",MISSIONS!$D43)</f>
        <v/>
      </c>
      <c r="E41" s="32" t="str">
        <f>IF(MISSIONS!$F43="","",MISSIONS!$F43)</f>
        <v/>
      </c>
      <c r="F41" s="32" t="str">
        <f>IF(MISSIONS!$G43="","",MISSIONS!$G43)</f>
        <v/>
      </c>
      <c r="G41" s="34" t="str">
        <f>IF(MISSIONS!$H43="","",MISSIONS!$H43)</f>
        <v/>
      </c>
      <c r="H41" s="44" t="str">
        <f>IF(OR(MISSIONS!$C43="",'MON SUIVI QUOTIDIEN'!$K$22=""),"",IF(MISSIONS!$C43&lt;='MON SUIVI QUOTIDIEN'!$K$22,"Active","À venir"))</f>
        <v/>
      </c>
    </row>
    <row r="42" ht="18" customHeight="1">
      <c r="B42" s="44" t="str">
        <f>IF(MISSIONS!$C44="","",INT((MISSIONS!$C44-1)/7)+1)</f>
        <v/>
      </c>
      <c r="C42" s="44" t="str">
        <f>IF(MISSIONS!$C44="","","J"&amp;MISSIONS!$C44)</f>
        <v/>
      </c>
      <c r="D42" s="77" t="str">
        <f>IF(MISSIONS!$D44="","",MISSIONS!$D44)</f>
        <v/>
      </c>
      <c r="E42" s="32" t="str">
        <f>IF(MISSIONS!$F44="","",MISSIONS!$F44)</f>
        <v/>
      </c>
      <c r="F42" s="32" t="str">
        <f>IF(MISSIONS!$G44="","",MISSIONS!$G44)</f>
        <v/>
      </c>
      <c r="G42" s="34" t="str">
        <f>IF(MISSIONS!$H44="","",MISSIONS!$H44)</f>
        <v/>
      </c>
      <c r="H42" s="44" t="str">
        <f>IF(OR(MISSIONS!$C44="",'MON SUIVI QUOTIDIEN'!$K$22=""),"",IF(MISSIONS!$C44&lt;='MON SUIVI QUOTIDIEN'!$K$22,"Active","À venir"))</f>
        <v/>
      </c>
    </row>
    <row r="43" ht="18" customHeight="1">
      <c r="B43" s="44" t="str">
        <f>IF(MISSIONS!$C45="","",INT((MISSIONS!$C45-1)/7)+1)</f>
        <v/>
      </c>
      <c r="C43" s="44" t="str">
        <f>IF(MISSIONS!$C45="","","J"&amp;MISSIONS!$C45)</f>
        <v/>
      </c>
      <c r="D43" s="77" t="str">
        <f>IF(MISSIONS!$D45="","",MISSIONS!$D45)</f>
        <v/>
      </c>
      <c r="E43" s="32" t="str">
        <f>IF(MISSIONS!$F45="","",MISSIONS!$F45)</f>
        <v/>
      </c>
      <c r="F43" s="32" t="str">
        <f>IF(MISSIONS!$G45="","",MISSIONS!$G45)</f>
        <v/>
      </c>
      <c r="G43" s="34" t="str">
        <f>IF(MISSIONS!$H45="","",MISSIONS!$H45)</f>
        <v/>
      </c>
      <c r="H43" s="44" t="str">
        <f>IF(OR(MISSIONS!$C45="",'MON SUIVI QUOTIDIEN'!$K$22=""),"",IF(MISSIONS!$C45&lt;='MON SUIVI QUOTIDIEN'!$K$22,"Active","À venir"))</f>
        <v/>
      </c>
    </row>
    <row r="44" ht="18" customHeight="1">
      <c r="B44" s="44" t="str">
        <f>IF(MISSIONS!$C46="","",INT((MISSIONS!$C46-1)/7)+1)</f>
        <v/>
      </c>
      <c r="C44" s="44" t="str">
        <f>IF(MISSIONS!$C46="","","J"&amp;MISSIONS!$C46)</f>
        <v/>
      </c>
      <c r="D44" s="77" t="str">
        <f>IF(MISSIONS!$D46="","",MISSIONS!$D46)</f>
        <v/>
      </c>
      <c r="E44" s="32" t="str">
        <f>IF(MISSIONS!$F46="","",MISSIONS!$F46)</f>
        <v/>
      </c>
      <c r="F44" s="32" t="str">
        <f>IF(MISSIONS!$G46="","",MISSIONS!$G46)</f>
        <v/>
      </c>
      <c r="G44" s="34" t="str">
        <f>IF(MISSIONS!$H46="","",MISSIONS!$H46)</f>
        <v/>
      </c>
      <c r="H44" s="44" t="str">
        <f>IF(OR(MISSIONS!$C46="",'MON SUIVI QUOTIDIEN'!$K$22=""),"",IF(MISSIONS!$C46&lt;='MON SUIVI QUOTIDIEN'!$K$22,"Active","À venir"))</f>
        <v/>
      </c>
    </row>
    <row r="45" ht="18" customHeight="1">
      <c r="B45" s="44" t="str">
        <f>IF(MISSIONS!$C47="","",INT((MISSIONS!$C47-1)/7)+1)</f>
        <v/>
      </c>
      <c r="C45" s="44" t="str">
        <f>IF(MISSIONS!$C47="","","J"&amp;MISSIONS!$C47)</f>
        <v/>
      </c>
      <c r="D45" s="77" t="str">
        <f>IF(MISSIONS!$D47="","",MISSIONS!$D47)</f>
        <v/>
      </c>
      <c r="E45" s="32" t="str">
        <f>IF(MISSIONS!$F47="","",MISSIONS!$F47)</f>
        <v/>
      </c>
      <c r="F45" s="32" t="str">
        <f>IF(MISSIONS!$G47="","",MISSIONS!$G47)</f>
        <v/>
      </c>
      <c r="G45" s="34" t="str">
        <f>IF(MISSIONS!$H47="","",MISSIONS!$H47)</f>
        <v/>
      </c>
      <c r="H45" s="44" t="str">
        <f>IF(OR(MISSIONS!$C47="",'MON SUIVI QUOTIDIEN'!$K$22=""),"",IF(MISSIONS!$C47&lt;='MON SUIVI QUOTIDIEN'!$K$22,"Active","À venir"))</f>
        <v/>
      </c>
    </row>
  </sheetData>
  <sheetProtection sheet="1" formatColumns="0" formatRows="0"/>
  <mergeCells count="4">
    <mergeCell ref="B1:H1"/>
    <mergeCell ref="B2:H2"/>
    <mergeCell ref="B3:H3"/>
    <mergeCell ref="B4:H4"/>
  </mergeCells>
  <conditionalFormatting sqref="H6:H45">
    <cfRule type="cellIs" dxfId="4" priority="1" operator="equal">
      <formula>"Active"</formula>
    </cfRule>
  </conditionalFormatting>
  <conditionalFormatting sqref="B6:G45">
    <cfRule type="expression" dxfId="0" priority="2">
      <formula>$H6="À venir"</formula>
    </cfRule>
  </conditionalFormatting>
  <hyperlinks>
    <hyperlink ref="H3" location="'MON SUIVI QUOTIDIEN'!B1" display="Mon suivi"/>
  </hyperlinks>
  <printOptions horizontalCentered="1"/>
  <pageMargins left="0.4" right="0.4" top="0.6" bottom="0.6" header="0.3" footer="0.3"/>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sheetPr>
    <pageSetUpPr fitToPage="1"/>
  </sheetPr>
  <dimension ref="B1:F245"/>
  <sheetViews>
    <sheetView showGridLines="0" zoomScaleNormal="100" workbookViewId="0">
      <pane ySplit="5" topLeftCell="A6" activePane="bottomLeft" state="frozen"/>
      <selection pane="bottomLeft" activeCell="B6" sqref="B6"/>
    </sheetView>
  </sheetViews>
  <sheetFormatPr baseColWidth="10" defaultColWidth="8.7109375" defaultRowHeight="15"/>
  <cols>
    <col min="1" max="1" width="2" customWidth="1"/>
    <col min="2" max="2" width="6" customWidth="1"/>
    <col min="3" max="3" width="22" customWidth="1"/>
    <col min="4" max="4" width="16" customWidth="1"/>
    <col min="5" max="5" width="62" customWidth="1"/>
    <col min="6" max="6" width="66" customWidth="1"/>
  </cols>
  <sheetData>
    <row r="1" ht="39.75" customHeight="1">
      <c r="B1" s="13" t="s">
        <v>0</v>
      </c>
      <c r="C1" s="13"/>
      <c r="D1" s="13"/>
      <c r="E1" s="13"/>
      <c r="F1" s="13"/>
    </row>
    <row r="2" ht="21.75" customHeight="1">
      <c r="B2" s="12" t="s">
        <v>1</v>
      </c>
      <c r="C2" s="12"/>
      <c r="D2" s="12"/>
      <c r="E2" s="12"/>
      <c r="F2" s="12"/>
    </row>
    <row r="3" ht="42" customHeight="1">
      <c r="B3" s="9" t="inlineStr">
        <is>
          <t xml:space="preserve">10 VERSETS PAR SEMAINE, SUR 24 SEMAINES. Lis-les lentement, relis-les dans la semaine, médite un verset à la fois : mieux vaut peu de versets compris que beaucoup lus vite. Ta semaine en cours est surlignée. Traduction : Muhammad Hamidullah (sens approché du texte arabe).</t>
        </is>
      </c>
      <c r="C3" s="9"/>
      <c r="D3" s="9"/>
      <c r="E3" s="9"/>
      <c r="F3" s="9"/>
    </row>
    <row r="4" ht="30" customHeight="1">
      <c r="B4" s="44" t="str">
        <f>IF(ISNUMBER('MON SUIVI QUOTIDIEN'!$K$6),'MON SUIVI QUOTIDIEN'!$K$6,"")</f>
        <v/>
      </c>
      <c r="C4" s="25" t="str">
        <f>IF($B$4="","Renseigne la date de début dans MON SUIVI QUOTIDIEN : tes versets de la semaine seront surlignés ici.",IF($B$4&lt;1,"Le challenge n'a pas encore commencé.",IF($B$4&gt;24,"Tu as terminé les 24 semaines : qu'Allah accepte ton effort.","Cette semaine : "&amp;INDEX($C$6:$C$245,($B$4-1)*10+1))))</f>
        <v>Renseigne la date de début dans MON SUIVI QUOTIDIEN : tes versets de la semaine seront surlignés ici.</v>
      </c>
      <c r="D4" s="25"/>
      <c r="E4" s="25"/>
      <c r="F4" s="25"/>
    </row>
    <row r="5" ht="25.5" customHeight="1">
      <c r="B5" s="48" t="inlineStr">
        <is>
          <t xml:space="preserve">Sem.</t>
        </is>
      </c>
      <c r="C5" s="48" t="inlineStr">
        <is>
          <t xml:space="preserve">Thème de la semaine</t>
        </is>
      </c>
      <c r="D5" s="48" t="inlineStr">
        <is>
          <t xml:space="preserve">Référence</t>
        </is>
      </c>
      <c r="E5" s="48" t="inlineStr">
        <is>
          <t xml:space="preserve">Verset (texte arabe)</t>
        </is>
      </c>
      <c r="F5" s="48" t="inlineStr">
        <is>
          <t xml:space="preserve">Traduction (français)</t>
        </is>
      </c>
    </row>
    <row r="6" ht="40" customHeight="1">
      <c r="B6" s="44">
        <v>1</v>
      </c>
      <c r="C6" s="32" t="inlineStr">
        <is>
          <t xml:space="preserve">Louange et Unicité</t>
        </is>
      </c>
      <c r="D6" s="78" t="inlineStr">
        <is>
          <t xml:space="preserve">Al-Fatihah 1:1</t>
        </is>
      </c>
      <c r="E6" s="76" t="inlineStr">
        <is>
          <t xml:space="preserve">بِسْمِ ٱللَّهِ ٱلرَّحْمَـٰنِ ٱلرَّحِيمِ</t>
        </is>
      </c>
      <c r="F6" s="32" t="inlineStr">
        <is>
          <t xml:space="preserve">Au nom d’Allah, le Tout Miséricordieux, le Très Miséricordieux.</t>
        </is>
      </c>
    </row>
    <row r="7" ht="40" customHeight="1">
      <c r="B7" s="44">
        <v>1</v>
      </c>
      <c r="C7" s="32" t="inlineStr">
        <is>
          <t xml:space="preserve">Louange et Unicité</t>
        </is>
      </c>
      <c r="D7" s="78" t="inlineStr">
        <is>
          <t xml:space="preserve">Al-Fatihah 1:2</t>
        </is>
      </c>
      <c r="E7" s="76" t="inlineStr">
        <is>
          <t xml:space="preserve">ٱلْحَمْدُ لِلَّهِ رَبِّ ٱلْعَـٰلَمِينَ</t>
        </is>
      </c>
      <c r="F7" s="32" t="inlineStr">
        <is>
          <t xml:space="preserve">Louange à Allah, Seigneur de l’Univers.</t>
        </is>
      </c>
    </row>
    <row r="8" ht="40" customHeight="1">
      <c r="B8" s="44">
        <v>1</v>
      </c>
      <c r="C8" s="32" t="inlineStr">
        <is>
          <t xml:space="preserve">Louange et Unicité</t>
        </is>
      </c>
      <c r="D8" s="78" t="inlineStr">
        <is>
          <t xml:space="preserve">Al-Fatihah 1:3</t>
        </is>
      </c>
      <c r="E8" s="76" t="inlineStr">
        <is>
          <t xml:space="preserve">ٱلرَّحْمَـٰنِ ٱلرَّحِيمِ</t>
        </is>
      </c>
      <c r="F8" s="32" t="inlineStr">
        <is>
          <t xml:space="preserve">Le Tout Miséricordieux, le Très Miséricordieux,</t>
        </is>
      </c>
    </row>
    <row r="9" ht="40" customHeight="1">
      <c r="B9" s="44">
        <v>1</v>
      </c>
      <c r="C9" s="32" t="inlineStr">
        <is>
          <t xml:space="preserve">Louange et Unicité</t>
        </is>
      </c>
      <c r="D9" s="78" t="inlineStr">
        <is>
          <t xml:space="preserve">Al-Fatihah 1:4</t>
        </is>
      </c>
      <c r="E9" s="76" t="inlineStr">
        <is>
          <t xml:space="preserve">مَـٰلِكِ يَوْمِ ٱلدِّينِ</t>
        </is>
      </c>
      <c r="F9" s="32" t="inlineStr">
        <is>
          <t xml:space="preserve">Maître du Jour de la Rétribution.</t>
        </is>
      </c>
    </row>
    <row r="10" ht="41" customHeight="1">
      <c r="B10" s="44">
        <v>1</v>
      </c>
      <c r="C10" s="32" t="inlineStr">
        <is>
          <t xml:space="preserve">Louange et Unicité</t>
        </is>
      </c>
      <c r="D10" s="78" t="inlineStr">
        <is>
          <t xml:space="preserve">Al-Fatihah 1:5</t>
        </is>
      </c>
      <c r="E10" s="76" t="inlineStr">
        <is>
          <t xml:space="preserve">إِيَّاكَ نَعْبُدُ وَإِيَّاكَ نَسْتَعِينُ</t>
        </is>
      </c>
      <c r="F10" s="32" t="inlineStr">
        <is>
          <t xml:space="preserve">C’est Toi [Seul] que nous adorons, et c’est Toi [Seul] dont nous implorons secours.</t>
        </is>
      </c>
    </row>
    <row r="11" ht="40" customHeight="1">
      <c r="B11" s="44">
        <v>1</v>
      </c>
      <c r="C11" s="32" t="inlineStr">
        <is>
          <t xml:space="preserve">Louange et Unicité</t>
        </is>
      </c>
      <c r="D11" s="78" t="inlineStr">
        <is>
          <t xml:space="preserve">Al-Fatihah 1:6</t>
        </is>
      </c>
      <c r="E11" s="76" t="inlineStr">
        <is>
          <t xml:space="preserve">ٱهْدِنَا ٱلصِّرَٰطَ ٱلْمُسْتَقِيمَ</t>
        </is>
      </c>
      <c r="F11" s="32" t="inlineStr">
        <is>
          <t xml:space="preserve">Guide-nous dans le droit chemin,</t>
        </is>
      </c>
    </row>
    <row r="12" ht="66" customHeight="1">
      <c r="B12" s="44">
        <v>1</v>
      </c>
      <c r="C12" s="32" t="inlineStr">
        <is>
          <t xml:space="preserve">Louange et Unicité</t>
        </is>
      </c>
      <c r="D12" s="78" t="inlineStr">
        <is>
          <t xml:space="preserve">Al-Fatihah 1:7</t>
        </is>
      </c>
      <c r="E12" s="76" t="inlineStr">
        <is>
          <t xml:space="preserve">صِرَٰطَ ٱلَّذِينَ أَنْعَمْتَ عَلَيْهِمْ غَيْرِ ٱلْمَغْضُوبِ عَلَيْهِمْ وَلَا ٱلضَّآلِّينَ</t>
        </is>
      </c>
      <c r="F12" s="32" t="inlineStr">
        <is>
          <t xml:space="preserve">Le chemin de ceux que Tu as comblés de faveurs, non pas de ceux qui ont encouru Ta colère, ni des égarés.</t>
        </is>
      </c>
    </row>
    <row r="13" ht="40" customHeight="1">
      <c r="B13" s="44">
        <v>1</v>
      </c>
      <c r="C13" s="32" t="inlineStr">
        <is>
          <t xml:space="preserve">Louange et Unicité</t>
        </is>
      </c>
      <c r="D13" s="78" t="inlineStr">
        <is>
          <t xml:space="preserve">Al-Ikhlas 112:1</t>
        </is>
      </c>
      <c r="E13" s="76" t="inlineStr">
        <is>
          <t xml:space="preserve"> قُلْ هُوَ ٱللَّهُ أَحَدٌ</t>
        </is>
      </c>
      <c r="F13" s="32" t="inlineStr">
        <is>
          <t xml:space="preserve">Dis : "Il est Allah, Unique.</t>
        </is>
      </c>
    </row>
    <row r="14" ht="40" customHeight="1">
      <c r="B14" s="44">
        <v>1</v>
      </c>
      <c r="C14" s="32" t="inlineStr">
        <is>
          <t xml:space="preserve">Louange et Unicité</t>
        </is>
      </c>
      <c r="D14" s="78" t="inlineStr">
        <is>
          <t xml:space="preserve">Al-Ikhlas 112:2</t>
        </is>
      </c>
      <c r="E14" s="76" t="inlineStr">
        <is>
          <t xml:space="preserve">ٱللَّهُ ٱلصَّمَدُ</t>
        </is>
      </c>
      <c r="F14" s="32" t="inlineStr">
        <is>
          <t xml:space="preserve">Allah, Le Seul à être imploré pour ce que nous désirons.</t>
        </is>
      </c>
    </row>
    <row r="15" ht="40" customHeight="1">
      <c r="B15" s="44">
        <v>1</v>
      </c>
      <c r="C15" s="32" t="inlineStr">
        <is>
          <t xml:space="preserve">Louange et Unicité</t>
        </is>
      </c>
      <c r="D15" s="78" t="inlineStr">
        <is>
          <t xml:space="preserve">Al-Ikhlas 112:3</t>
        </is>
      </c>
      <c r="E15" s="76" t="inlineStr">
        <is>
          <t xml:space="preserve">لَمْ يَلِدْ وَلَمْ يُولَدْ</t>
        </is>
      </c>
      <c r="F15" s="32" t="inlineStr">
        <is>
          <t xml:space="preserve">Il n’a jamais engendré, n’a pas été engendré non plus.</t>
        </is>
      </c>
    </row>
    <row r="16" ht="41" customHeight="1">
      <c r="B16" s="44">
        <v>2</v>
      </c>
      <c r="C16" s="32" t="inlineStr">
        <is>
          <t xml:space="preserve">Le rappel d'Allah</t>
        </is>
      </c>
      <c r="D16" s="78" t="inlineStr">
        <is>
          <t xml:space="preserve">Al-Baqarah 2:152</t>
        </is>
      </c>
      <c r="E16" s="76" t="inlineStr">
        <is>
          <t xml:space="preserve">فَٱذْكُرُونِىٓ أَذْكُرْكُمْ وَٱشْكُرُوا۟ لِى وَلَا تَكْفُرُونِ</t>
        </is>
      </c>
      <c r="F16" s="32" t="inlineStr">
        <is>
          <t xml:space="preserve">Souvenez-vous de Moi donc, Je Me souviendrai de vous. Remerciez- Moi et ne soyez pas ingrats envers Moi !</t>
        </is>
      </c>
    </row>
    <row r="17" ht="66" customHeight="1">
      <c r="B17" s="44">
        <v>2</v>
      </c>
      <c r="C17" s="32" t="inlineStr">
        <is>
          <t xml:space="preserve">Le rappel d'Allah</t>
        </is>
      </c>
      <c r="D17" s="78" t="inlineStr">
        <is>
          <t xml:space="preserve">Al-Baqarah 2:153</t>
        </is>
      </c>
      <c r="E17" s="76" t="inlineStr">
        <is>
          <t xml:space="preserve">يَـٰٓأَيُّهَا ٱلَّذِينَ ءَامَنُوا۟ ٱسْتَعِينُوا۟ بِٱلصَّبْرِ وَٱلصَّلَوٰةِ ۚ إِنَّ ٱللَّهَ مَعَ ٱلصَّـٰبِرِينَ</t>
        </is>
      </c>
      <c r="F17" s="32" t="inlineStr">
        <is>
          <t xml:space="preserve">Ô les croyants! Cherchez assistance dans l’endurance et la prière (Aṣ-Ṣalāt). Car Allah est avec les endurants.</t>
        </is>
      </c>
    </row>
    <row r="18" ht="170" customHeight="1">
      <c r="B18" s="44">
        <v>2</v>
      </c>
      <c r="C18" s="32" t="inlineStr">
        <is>
          <t xml:space="preserve">Le rappel d'Allah</t>
        </is>
      </c>
      <c r="D18" s="78" t="inlineStr">
        <is>
          <t xml:space="preserve">Al-Baqarah 2:255</t>
        </is>
      </c>
      <c r="E18" s="76" t="inlineStr">
        <is>
          <t xml:space="preserve">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F18" s="32" t="inlineStr">
        <is>
          <t xml:space="preserve">Allah! Point de divinité à part Lui, le Vivant, Celui qui subsiste par Lui-même (Al Qayyum). Ni somnolence ni sommeil ne Le saisissent. A Lui appartient tout ce qui est dans les cieux et sur la terre. Qui peut intercéder auprès de Lui sans Sa permission? Il connaît leur passé et leur futur. Et, de Sa science, ils n’embrassent que ce qu’Il veut. Son Trône « Kursîy » déborde les cieux et la terre, dont la garde ne Lui coûte aucune peine. Et Il est le Très-Haut, le Très-Grand .</t>
        </is>
      </c>
    </row>
    <row r="19" ht="92" customHeight="1">
      <c r="B19" s="44">
        <v>2</v>
      </c>
      <c r="C19" s="32" t="inlineStr">
        <is>
          <t xml:space="preserve">Le rappel d'Allah</t>
        </is>
      </c>
      <c r="D19" s="78" t="inlineStr">
        <is>
          <t xml:space="preserve">Al-Baqarah 2:256</t>
        </is>
      </c>
      <c r="E19" s="76" t="inlineStr">
        <is>
          <t xml:space="preserve">لَآ إِكْرَاهَ فِى ٱلدِّينِ ۖ قَد تَّبَيَّنَ ٱلرُّشْدُ مِنَ ٱلْغَىِّ ۚ فَمَن يَكْفُرْ بِٱلطَّـٰغُوتِ وَيُؤْمِنۢ بِٱللَّهِ فَقَدِ ٱسْتَمْسَكَ بِٱلْعُرْوَةِ ٱلْوُثْقَىٰ لَا ٱنفِصَامَ لَهَا ۗ وَٱللَّهُ سَمِيعٌ عَلِيمٌ</t>
        </is>
      </c>
      <c r="F19" s="32" t="inlineStr">
        <is>
          <t xml:space="preserve">Nulle contrainte en religion! Car le bon chemin s’est distingué de l’égarement. Donc, quiconque mécroit au Rebelle (Tâghût) tandis qu’il croit en Allah saisit l’anse la plus solide, qui ne peut se briser. Et Allah est Audient et Omniscient.</t>
        </is>
      </c>
    </row>
    <row r="20" ht="92" customHeight="1">
      <c r="B20" s="44">
        <v>2</v>
      </c>
      <c r="C20" s="32" t="inlineStr">
        <is>
          <t xml:space="preserve">Le rappel d'Allah</t>
        </is>
      </c>
      <c r="D20" s="78" t="inlineStr">
        <is>
          <t xml:space="preserve">Al-Baqarah 2:257</t>
        </is>
      </c>
      <c r="E20" s="76" t="inlineStr">
        <is>
          <t xml:space="preserve">ٱللَّهُ وَلِىُّ ٱلَّذِينَ ءَامَنُوا۟ يُخْرِجُهُم مِّنَ ٱلظُّلُمَـٰتِ إِلَى ٱلنُّورِ ۖ وَٱلَّذِينَ كَفَرُوٓا۟ أَوْلِيَآؤُهُمُ ٱلطَّـٰغُوتُ يُخْرِجُونَهُم مِّنَ ٱلنُّورِ إِلَى ٱلظُّلُمَـٰتِ ۗ أُو۟لَـٰٓئِكَ أَصْحَـٰبُ ٱلنَّارِ ۖ هُمْ فِيهَا خَـٰلِدُونَ</t>
        </is>
      </c>
      <c r="F20" s="32" t="inlineStr">
        <is>
          <t xml:space="preserve">Allah est le défenseur de ceux qui ont la foi: Il les fait sortir des ténèbres à la lumière. Quant à ceux qui ne croient pas, ils ont pour défenseurs les Rebelles ( Tâghût) , qui les font sortir de la lumière aux ténèbres. Voilà les gens du Feu, où ils demeurent éternellement.</t>
        </is>
      </c>
    </row>
    <row r="21" ht="66" customHeight="1">
      <c r="B21" s="44">
        <v>2</v>
      </c>
      <c r="C21" s="32" t="inlineStr">
        <is>
          <t xml:space="preserve">Le rappel d'Allah</t>
        </is>
      </c>
      <c r="D21" s="78" t="inlineStr">
        <is>
          <t xml:space="preserve">Ar-Ra'd 13:28</t>
        </is>
      </c>
      <c r="E21" s="76" t="inlineStr">
        <is>
          <t xml:space="preserve">ٱلَّذِينَ ءَامَنُوا۟ وَتَطْمَئِنُّ قُلُوبُهُم بِذِكْرِ ٱللَّهِ ۗ أَلَا بِذِكْرِ ٱللَّهِ تَطْمَئِنُّ ٱلْقُلُوبُ</t>
        </is>
      </c>
      <c r="F21" s="32" t="inlineStr">
        <is>
          <t xml:space="preserve">ceux qui ont cru, et dont les cœurs se tranquillisent à l'évocation d'Allah." N'est ce point par l'évocation d'Allah que se tranquillisent les cœurs ?</t>
        </is>
      </c>
    </row>
    <row r="22" ht="66" customHeight="1">
      <c r="B22" s="44">
        <v>2</v>
      </c>
      <c r="C22" s="32" t="inlineStr">
        <is>
          <t xml:space="preserve">Le rappel d'Allah</t>
        </is>
      </c>
      <c r="D22" s="78" t="inlineStr">
        <is>
          <t xml:space="preserve">Taha 20:14</t>
        </is>
      </c>
      <c r="E22" s="76" t="inlineStr">
        <is>
          <t xml:space="preserve">إِنَّنِىٓ أَنَا ٱللَّهُ لَآ إِلَـٰهَ إِلَّآ أَنَا۠ فَٱعْبُدْنِى وَأَقِمِ ٱلصَّلَوٰةَ لِذِكْرِىٓ</t>
        </is>
      </c>
      <c r="F22" s="32" t="inlineStr">
        <is>
          <t xml:space="preserve">Certes, c'est Moi Allah. Point de divinité (véritable) autre que Moi ! Adore-Moi et accomplis laprière (As-Salât) en souvenir de Moi.</t>
        </is>
      </c>
    </row>
    <row r="23" ht="40" customHeight="1">
      <c r="B23" s="44">
        <v>2</v>
      </c>
      <c r="C23" s="32" t="inlineStr">
        <is>
          <t xml:space="preserve">Le rappel d'Allah</t>
        </is>
      </c>
      <c r="D23" s="78" t="inlineStr">
        <is>
          <t xml:space="preserve">Al-Ahzab 33:41</t>
        </is>
      </c>
      <c r="E23" s="76" t="inlineStr">
        <is>
          <t xml:space="preserve">يَـٰٓأَيُّهَا ٱلَّذِينَ ءَامَنُوا۟ ٱذْكُرُوا۟ ٱللَّهَ ذِكْرًا كَثِيرًا</t>
        </is>
      </c>
      <c r="F23" s="32" t="inlineStr">
        <is>
          <t xml:space="preserve">Ô vous qui croyez ! Evoquez Allah d’une façon abondante.</t>
        </is>
      </c>
    </row>
    <row r="24" ht="40" customHeight="1">
      <c r="B24" s="44">
        <v>2</v>
      </c>
      <c r="C24" s="32" t="inlineStr">
        <is>
          <t xml:space="preserve">Le rappel d'Allah</t>
        </is>
      </c>
      <c r="D24" s="78" t="inlineStr">
        <is>
          <t xml:space="preserve">Al-Ahzab 33:42</t>
        </is>
      </c>
      <c r="E24" s="76" t="inlineStr">
        <is>
          <t xml:space="preserve">وَسَبِّحُوهُ بُكْرَةً وَأَصِيلًا</t>
        </is>
      </c>
      <c r="F24" s="32" t="inlineStr">
        <is>
          <t xml:space="preserve">et glorifiez-Le à la pointe et au déclin du jour.</t>
        </is>
      </c>
    </row>
    <row r="25" ht="66" customHeight="1">
      <c r="B25" s="44">
        <v>2</v>
      </c>
      <c r="C25" s="32" t="inlineStr">
        <is>
          <t xml:space="preserve">Le rappel d'Allah</t>
        </is>
      </c>
      <c r="D25" s="78" t="inlineStr">
        <is>
          <t xml:space="preserve">Al-Jumu'ah 62:10</t>
        </is>
      </c>
      <c r="E25" s="76" t="inlineStr">
        <is>
          <t xml:space="preserve">فَإِذَا قُضِيَتِ ٱلصَّلَوٰةُ فَٱنتَشِرُوا۟ فِى ٱلْأَرْضِ وَٱبْتَغُوا۟ مِن فَضْلِ ٱللَّهِ وَٱذْكُرُوا۟ ٱللَّهَ كَثِيرًا لَّعَلَّكُمْ تُفْلِحُونَ</t>
        </is>
      </c>
      <c r="F25" s="32" t="inlineStr">
        <is>
          <t xml:space="preserve">Puis quand la prière (As-Salât) est achevée, dispersez-vous sur la terre, et recherchez [quelque effet] de la grâce d’Allah, et invoquez beaucoup Allah afin que vous réussissiez.</t>
        </is>
      </c>
    </row>
    <row r="26" ht="66" customHeight="1">
      <c r="B26" s="44">
        <v>3</v>
      </c>
      <c r="C26" s="32" t="inlineStr">
        <is>
          <t xml:space="preserve">L'intention et la sincérité</t>
        </is>
      </c>
      <c r="D26" s="78" t="inlineStr">
        <is>
          <t xml:space="preserve">Al-Bayyinah 98:5</t>
        </is>
      </c>
      <c r="E26" s="76" t="inlineStr">
        <is>
          <t xml:space="preserve">وَمَآ أُمِرُوٓا۟ إِلَّا لِيَعْبُدُوا۟ ٱللَّهَ مُخْلِصِينَ لَهُ ٱلدِّينَ حُنَفَآءَ وَيُقِيمُوا۟ ٱلصَّلَوٰةَ وَيُؤْتُوا۟ ٱلزَّكَوٰةَ ۚ وَذَٰلِكَ دِينُ ٱلْقَيِّمَةِ</t>
        </is>
      </c>
      <c r="F26" s="32" t="inlineStr">
        <is>
          <t xml:space="preserve">Il ne leur a été commandé, cependant, que d’adorer Allah, Lui vouant un culte exclusif, d’accomplir la prière (As-Salât) et d’acquitter l'aumône (Az-Zakât). Et voilà la religion de droiture.</t>
        </is>
      </c>
    </row>
    <row r="27" ht="66" customHeight="1">
      <c r="B27" s="44">
        <v>3</v>
      </c>
      <c r="C27" s="32" t="inlineStr">
        <is>
          <t xml:space="preserve">L'intention et la sincérité</t>
        </is>
      </c>
      <c r="D27" s="78" t="inlineStr">
        <is>
          <t xml:space="preserve">Az-Zumar 39:2</t>
        </is>
      </c>
      <c r="E27" s="76" t="inlineStr">
        <is>
          <t xml:space="preserve">إِنَّآ أَنزَلْنَآ إِلَيْكَ ٱلْكِتَـٰبَ بِٱلْحَقِّ فَٱعْبُدِ ٱللَّهَ مُخْلِصًا لَّهُ ٱلدِّينَ</t>
        </is>
      </c>
      <c r="F27" s="32" t="inlineStr">
        <is>
          <t xml:space="preserve">Nous t’avons fait descendre le Livre en toute vérité. Adore donc Allah en Lui vouant un culte exclusif.</t>
        </is>
      </c>
    </row>
    <row r="28" ht="118" customHeight="1">
      <c r="B28" s="44">
        <v>3</v>
      </c>
      <c r="C28" s="32" t="inlineStr">
        <is>
          <t xml:space="preserve">L'intention et la sincérité</t>
        </is>
      </c>
      <c r="D28" s="78" t="inlineStr">
        <is>
          <t xml:space="preserve">Az-Zumar 39:3</t>
        </is>
      </c>
      <c r="E28" s="76" t="inlineStr">
        <is>
          <t xml:space="preserve">أَلَا لِلَّهِ ٱلدِّينُ ٱلْخَالِصُ ۚ وَٱلَّذِينَ ٱتَّخَذُوا۟ مِن دُونِهِۦٓ أَوْلِيَآءَ مَا نَعْبُدُهُمْ إِلَّا لِيُقَرِّبُونَآ إِلَى ٱللَّهِ زُلْفَىٰٓ إِنَّ ٱللَّهَ يَحْكُمُ بَيْنَهُمْ فِى مَا هُمْ فِيهِ يَخْتَلِفُونَ ۗ إِنَّ ٱللَّهَ لَا يَهْدِى مَنْ هُوَ كَـٰذِبٌ كَفَّارٌ</t>
        </is>
      </c>
      <c r="F28" s="32" t="inlineStr">
        <is>
          <t xml:space="preserve">C’est à Allah qu’appartient la religion pure. Tandis que ceux qui prennent des protecteurs en dehors de Lui (disent) : "Nous ne les adorons que pour qu’ils nous rapprochent davantage d’Allah." En vérité, Allah jugera parmi eux sur ce en quoi ils divergent. Allah ne guide pas celui qui est menteur et grand ingrat.</t>
        </is>
      </c>
    </row>
    <row r="29" ht="41" customHeight="1">
      <c r="B29" s="44">
        <v>3</v>
      </c>
      <c r="C29" s="32" t="inlineStr">
        <is>
          <t xml:space="preserve">L'intention et la sincérité</t>
        </is>
      </c>
      <c r="D29" s="78" t="inlineStr">
        <is>
          <t xml:space="preserve">Al-An'am 6:162</t>
        </is>
      </c>
      <c r="E29" s="76" t="inlineStr">
        <is>
          <t xml:space="preserve">قُلْ إِنَّ صَلَاتِى وَنُسُكِى وَمَحْيَاىَ وَمَمَاتِى لِلَّهِ رَبِّ ٱلْعَـٰلَمِينَ</t>
        </is>
      </c>
      <c r="F29" s="32" t="inlineStr">
        <is>
          <t xml:space="preserve">Dis : "En vérité, ma prière (As-Salât), mes actes de dévotion, ma vie et ma mort appartiennent à Allah, Seigneur de l’Univers.</t>
        </is>
      </c>
    </row>
    <row r="30" ht="41" customHeight="1">
      <c r="B30" s="44">
        <v>3</v>
      </c>
      <c r="C30" s="32" t="inlineStr">
        <is>
          <t xml:space="preserve">L'intention et la sincérité</t>
        </is>
      </c>
      <c r="D30" s="78" t="inlineStr">
        <is>
          <t xml:space="preserve">Al-An'am 6:163</t>
        </is>
      </c>
      <c r="E30" s="76" t="inlineStr">
        <is>
          <t xml:space="preserve">لَا شَرِيكَ لَهُۥ ۖ وَبِذَٰلِكَ أُمِرْتُ وَأَنَا۠ أَوَّلُ ٱلْمُسْلِمِينَ</t>
        </is>
      </c>
      <c r="F30" s="32" t="inlineStr">
        <is>
          <t xml:space="preserve">À Lui nul associé! Et voilà ce qu’il m’a été ordonné, et je suis le premier à me soumettre."</t>
        </is>
      </c>
    </row>
    <row r="31" ht="40" customHeight="1">
      <c r="B31" s="44">
        <v>3</v>
      </c>
      <c r="C31" s="32" t="inlineStr">
        <is>
          <t xml:space="preserve">L'intention et la sincérité</t>
        </is>
      </c>
      <c r="D31" s="78" t="inlineStr">
        <is>
          <t xml:space="preserve">Adh-Dhariyat 51:56</t>
        </is>
      </c>
      <c r="E31" s="76" t="inlineStr">
        <is>
          <t xml:space="preserve">وَمَا خَلَقْتُ ٱلْجِنَّ وَٱلْإِنسَ إِلَّا لِيَعْبُدُونِ</t>
        </is>
      </c>
      <c r="F31" s="32" t="inlineStr">
        <is>
          <t xml:space="preserve">Je n’ai créé les djinns et les hommes que pour qu’ils M’adorent.</t>
        </is>
      </c>
    </row>
    <row r="32" ht="92" customHeight="1">
      <c r="B32" s="44">
        <v>3</v>
      </c>
      <c r="C32" s="32" t="inlineStr">
        <is>
          <t xml:space="preserve">L'intention et la sincérité</t>
        </is>
      </c>
      <c r="D32" s="78" t="inlineStr">
        <is>
          <t xml:space="preserve">Al-Kahf 18:110</t>
        </is>
      </c>
      <c r="E32" s="76" t="inlineStr">
        <is>
          <t xml:space="preserve">قُلْ إِنَّمَآ أَنَا۠ بَشَرٌ مِّثْلُكُمْ يُوحَىٰٓ إِلَىَّ أَنَّمَآ إِلَـٰهُكُمْ إِلَـٰهٌ وَٰحِدٌ ۖ فَمَن كَانَ يَرْجُوا۟ لِقَآءَ رَبِّهِۦ فَلْيَعْمَلْ عَمَلًا صَـٰلِحًا وَلَا يُشْرِكْ بِعِبَادَةِ رَبِّهِۦٓ أَحَدًۢا</t>
        </is>
      </c>
      <c r="F32" s="32" t="inlineStr">
        <is>
          <t xml:space="preserve">Dis : "Je ne suis qu'un être humain comme vous. Il m’a été révélé que votre Dieu est un Dieu unique! Quiconque, donc, espère rencontrer son Seigneur, qu’il fasse de bonnes actions et qu’il n’associe dans son adoration aucun à son Seigneur."</t>
        </is>
      </c>
    </row>
    <row r="33" ht="66" customHeight="1">
      <c r="B33" s="44">
        <v>3</v>
      </c>
      <c r="C33" s="32" t="inlineStr">
        <is>
          <t xml:space="preserve">L'intention et la sincérité</t>
        </is>
      </c>
      <c r="D33" s="78" t="inlineStr">
        <is>
          <t xml:space="preserve">Al-Mulk 67:2</t>
        </is>
      </c>
      <c r="E33" s="76" t="inlineStr">
        <is>
          <t xml:space="preserve">ٱلَّذِى خَلَقَ ٱلْمَوْتَ وَٱلْحَيَوٰةَ لِيَبْلُوَكُمْ أَيُّكُمْ أَحْسَنُ عَمَلًا ۚ وَهُوَ ٱلْعَزِيزُ ٱلْغَفُورُ</t>
        </is>
      </c>
      <c r="F33" s="32" t="inlineStr">
        <is>
          <t xml:space="preserve">Celui qui a créé la mort et la vie afin de vous éprouver (et de savoir) qui de vous est le meilleur en œuvre, et c’est Lui le Puissant, le Pardonneur.</t>
        </is>
      </c>
    </row>
    <row r="34" ht="66" customHeight="1">
      <c r="B34" s="44">
        <v>3</v>
      </c>
      <c r="C34" s="32" t="inlineStr">
        <is>
          <t xml:space="preserve">L'intention et la sincérité</t>
        </is>
      </c>
      <c r="D34" s="78" t="inlineStr">
        <is>
          <t xml:space="preserve">Al-'Ankabut 29:69</t>
        </is>
      </c>
      <c r="E34" s="76" t="inlineStr">
        <is>
          <t xml:space="preserve">وَٱلَّذِينَ جَـٰهَدُوا۟ فِينَا لَنَهْدِيَنَّهُمْ سُبُلَنَا ۚ وَإِنَّ ٱللَّهَ لَمَعَ ٱلْمُحْسِنِينَ</t>
        </is>
      </c>
      <c r="F34" s="32" t="inlineStr">
        <is>
          <t xml:space="preserve">Et quant à ceux qui luttent pour Notre cause, Nous les guiderons certes sur Nos sentiers, Allah est en vérité avec les bienfaisants.</t>
        </is>
      </c>
    </row>
    <row r="35" ht="118" customHeight="1">
      <c r="B35" s="44">
        <v>3</v>
      </c>
      <c r="C35" s="32" t="inlineStr">
        <is>
          <t xml:space="preserve">L'intention et la sincérité</t>
        </is>
      </c>
      <c r="D35" s="78" t="inlineStr">
        <is>
          <t xml:space="preserve">Hud 11:7</t>
        </is>
      </c>
      <c r="E35" s="76" t="inlineStr">
        <is>
          <t xml:space="preserve">وَهُوَ ٱلَّذِى خَلَقَ ٱلسَّمَـٰوَٰتِ وَٱلْأَرْضَ فِى سِتَّةِ أَيَّامٍ وَكَانَ عَرْشُهُۥ عَلَى ٱلْمَآءِ لِيَبْلُوَكُمْ أَيُّكُمْ أَحْسَنُ عَمَلًا ۗ وَلَئِن قُلْتَ إِنَّكُم مَّبْعُوثُونَ مِنۢ بَعْدِ ٱلْمَوْتِ لَيَقُولَنَّ ٱلَّذِينَ كَفَرُوٓا۟ إِنْ هَـٰذَآ إِلَّا سِحْرٌ مُّبِينٌ</t>
        </is>
      </c>
      <c r="F35" s="32" t="inlineStr">
        <is>
          <t xml:space="preserve">Et c’est Lui qui a créé les cieux et la Terre en six jours, - alors que Son Trône était sur l’eau - afin d’éprouver lequel de vous agirait le mieux. Et si tu dis : “Vous serez ressuscités après la mort”, ceux qui ne croient pas diront : “Ce n’est là qu’une magie évidente.</t>
        </is>
      </c>
    </row>
    <row r="36" ht="92" customHeight="1">
      <c r="B36" s="44">
        <v>4</v>
      </c>
      <c r="C36" s="32" t="inlineStr">
        <is>
          <t xml:space="preserve">Le repentir et le pardon</t>
        </is>
      </c>
      <c r="D36" s="78" t="inlineStr">
        <is>
          <t xml:space="preserve">Az-Zumar 39:53</t>
        </is>
      </c>
      <c r="E36" s="76" t="inlineStr">
        <is>
          <t xml:space="preserve">۞ قُلْ يَـٰعِبَادِىَ ٱلَّذِينَ أَسْرَفُوا۟ عَلَىٰٓ أَنفُسِهِمْ لَا تَقْنَطُوا۟ مِن رَّحْمَةِ ٱللَّهِ ۚ إِنَّ ٱللَّهَ يَغْفِرُ ٱلذُّنُوبَ جَمِيعًا ۚ إِنَّهُۥ هُوَ ٱلْغَفُورُ ٱلرَّحِيمُ</t>
        </is>
      </c>
      <c r="F36" s="32" t="inlineStr">
        <is>
          <t xml:space="preserve">Dis : "Ô Mes serviteurs qui avez commis des excès à votre propre détriment, ne désespérez pas de la miséricorde d’Allah. Car Allah pardonne tous les péchés. Oui, c’est Lui le Pardonneur, le Très Miséricordieux."</t>
        </is>
      </c>
    </row>
    <row r="37" ht="92" customHeight="1">
      <c r="B37" s="44">
        <v>4</v>
      </c>
      <c r="C37" s="32" t="inlineStr">
        <is>
          <t xml:space="preserve">Le repentir et le pardon</t>
        </is>
      </c>
      <c r="D37" s="78" t="inlineStr">
        <is>
          <t xml:space="preserve">Ali 'Imran 3:135</t>
        </is>
      </c>
      <c r="E37" s="76" t="inlineStr">
        <is>
          <t xml:space="preserve">وَٱلَّذِينَ إِذَا فَعَلُوا۟ فَـٰحِشَةً أَوْ ظَلَمُوٓا۟ أَنفُسَهُمْ ذَكَرُوا۟ ٱللَّهَ فَٱسْتَغْفَرُوا۟ لِذُنُوبِهِمْ وَمَن يَغْفِرُ ٱلذُّنُوبَ إِلَّا ٱللَّهُ وَلَمْ يُصِرُّوا۟ عَلَىٰ مَا فَعَلُوا۟ وَهُمْ يَعْلَمُونَ</t>
        </is>
      </c>
      <c r="F37" s="32" t="inlineStr">
        <is>
          <t xml:space="preserve">et pour ceux qui, s’ils ont commis quelque turpitude ou causé quelque préjudice à leurs propres âmes (en désobéissant à Allah), se souviennent d’Allah et demandent pardon pour leur péchés - et qui est-ce qui pardonne les péchés sinon Allah ? - et qui ne persistent pas sciemment dans le mal qu’ils ont fait.</t>
        </is>
      </c>
    </row>
    <row r="38" ht="66" customHeight="1">
      <c r="B38" s="44">
        <v>4</v>
      </c>
      <c r="C38" s="32" t="inlineStr">
        <is>
          <t xml:space="preserve">Le repentir et le pardon</t>
        </is>
      </c>
      <c r="D38" s="78" t="inlineStr">
        <is>
          <t xml:space="preserve">Ali 'Imran 3:136</t>
        </is>
      </c>
      <c r="E38" s="76" t="inlineStr">
        <is>
          <t xml:space="preserve">أُو۟لَـٰٓئِكَ جَزَآؤُهُم مَّغْفِرَةٌ مِّن رَّبِّهِمْ وَجَنَّـٰتٌ تَجْرِى مِن تَحْتِهَا ٱلْأَنْهَـٰرُ خَـٰلِدِينَ فِيهَا ۚ وَنِعْمَ أَجْرُ ٱلْعَـٰمِلِينَ</t>
        </is>
      </c>
      <c r="F38" s="32" t="inlineStr">
        <is>
          <t xml:space="preserve">Ceux-là ont pour récompense le pardon de leur Seigneur, ainsi que les Jardins sous lesquels coulent les ruisseaux, pour y demeurer éternellement. Comme est belle la récompense de ceux qui font le bien !</t>
        </is>
      </c>
    </row>
    <row r="39" ht="144" customHeight="1">
      <c r="B39" s="44">
        <v>4</v>
      </c>
      <c r="C39" s="32" t="inlineStr">
        <is>
          <t xml:space="preserve">Le repentir et le pardon</t>
        </is>
      </c>
      <c r="D39" s="78" t="inlineStr">
        <is>
          <t xml:space="preserve">At-Tahrim 66:8</t>
        </is>
      </c>
      <c r="E39" s="76" t="inlineStr">
        <is>
          <t xml:space="preserve">يَـٰٓأَيُّهَا ٱلَّذِينَ ءَامَنُوا۟ تُوبُوٓا۟ إِلَى ٱللَّهِ تَوْبَةً نَّصُوحًا عَسَىٰ رَبُّكُمْ أَن يُكَفِّرَ عَنكُمْ سَيِّـَٔاتِكُمْ وَيُدْخِلَكُمْ جَنَّـٰتٍ تَجْرِى مِن تَحْتِهَا ٱلْأَنْهَـٰرُ يَوْمَ لَا يُخْزِى ٱللَّهُ ٱلنَّبِىَّ وَٱلَّذِينَ ءَامَنُوا۟ مَعَهُۥ ۖ نُورُهُمْ يَسْعَىٰ بَيْنَ أَيْدِيهِمْ وَبِأَيْمَـٰنِهِمْ يَقُولُونَ رَبَّنَآ أَتْمِمْ لَنَا نُورَنَا وَٱغْفِرْ لَنَآ ۖ إِنَّكَ عَلَىٰ كُلِّ شَىْءٍ قَدِيرٌ</t>
        </is>
      </c>
      <c r="F39" s="32" t="inlineStr">
        <is>
          <t xml:space="preserve">Ô vous qui avez cru ! Repentez-vous à Allah d’un repentir sincère. Il se peut que votre Seigneur vous efface vos fautes et qu’Il vous fasse entrer dans des Jardins sous lesquels coulent les ruisseaux, le jour où Allah épargnera l’ignominie au Prophète et à ceux qui croient avec lui. Leur lumière courra devant eux et à leur droite; ils diront : "Seigneur, parfais-nous notre lumière et pardonne-nous. Car Tu es Omnipotent."</t>
        </is>
      </c>
    </row>
    <row r="40" ht="66" customHeight="1">
      <c r="B40" s="44">
        <v>4</v>
      </c>
      <c r="C40" s="32" t="inlineStr">
        <is>
          <t xml:space="preserve">Le repentir et le pardon</t>
        </is>
      </c>
      <c r="D40" s="78" t="inlineStr">
        <is>
          <t xml:space="preserve">An-Nisa 4:110</t>
        </is>
      </c>
      <c r="E40" s="76" t="inlineStr">
        <is>
          <t xml:space="preserve">وَمَن يَعْمَلْ سُوٓءًا أَوْ يَظْلِمْ نَفْسَهُۥ ثُمَّ يَسْتَغْفِرِ ٱللَّهَ يَجِدِ ٱللَّهَ غَفُورًا رَّحِيمًا</t>
        </is>
      </c>
      <c r="F40" s="32" t="inlineStr">
        <is>
          <t xml:space="preserve">Quiconque agit mal ou se fait du tort à lui-même, puis aussitôt implore d’Allah le pardon, trouvera Allah Pardonneur et Miséricordieux.</t>
        </is>
      </c>
    </row>
    <row r="41" ht="66" customHeight="1">
      <c r="B41" s="44">
        <v>4</v>
      </c>
      <c r="C41" s="32" t="inlineStr">
        <is>
          <t xml:space="preserve">Le repentir et le pardon</t>
        </is>
      </c>
      <c r="D41" s="78" t="inlineStr">
        <is>
          <t xml:space="preserve">Al-Furqan 25:70</t>
        </is>
      </c>
      <c r="E41" s="76" t="inlineStr">
        <is>
          <t xml:space="preserve">إِلَّا مَن تَابَ وَءَامَنَ وَعَمِلَ عَمَلًا صَـٰلِحًا فَأُو۟لَـٰٓئِكَ يُبَدِّلُ ٱللَّهُ سَيِّـَٔاتِهِمْ حَسَنَـٰتٍ ۗ وَكَانَ ٱللَّهُ غَفُورًا رَّحِيمًا</t>
        </is>
      </c>
      <c r="F41" s="32" t="inlineStr">
        <is>
          <t xml:space="preserve">sauf celui qui se repent, croit et accomplit une bonne œuvre, alors ceux-là Allah changera leurs mauvaises actions en bonnes, et Allah est Pardonneur et Miséricordieux ;</t>
        </is>
      </c>
    </row>
    <row r="42" ht="92" customHeight="1">
      <c r="B42" s="44">
        <v>4</v>
      </c>
      <c r="C42" s="32" t="inlineStr">
        <is>
          <t xml:space="preserve">Le repentir et le pardon</t>
        </is>
      </c>
      <c r="D42" s="78" t="inlineStr">
        <is>
          <t xml:space="preserve">Hud 11:3</t>
        </is>
      </c>
      <c r="E42" s="76" t="inlineStr">
        <is>
          <t xml:space="preserve">وَأَنِ ٱسْتَغْفِرُوا۟ رَبَّكُمْ ثُمَّ تُوبُوٓا۟ إِلَيْهِ يُمَتِّعْكُم مَّتَـٰعًا حَسَنًا إِلَىٰٓ أَجَلٍ مُّسَمًّى وَيُؤْتِ كُلَّ ذِى فَضْلٍ فَضْلَهُۥ ۖ وَإِن تَوَلَّوْا۟ فَإِنِّىٓ أَخَافُ عَلَيْكُمْ عَذَابَ يَوْمٍ كَبِيرٍ</t>
        </is>
      </c>
      <c r="F42" s="32" t="inlineStr">
        <is>
          <t xml:space="preserve">Demandez pardon à votre Seigneur ! Ensuite, revenez (repentants) à Lui ! Il vous accordera une belle jouissance jusqu’à un terme fixé, et Il accordera à chaque méritant l’honneur qu’il mérite. Mais si vous tournez le dos, je crains alors pour vous le châtiment d’un grand jour.</t>
        </is>
      </c>
    </row>
    <row r="43" ht="66" customHeight="1">
      <c r="B43" s="44">
        <v>4</v>
      </c>
      <c r="C43" s="32" t="inlineStr">
        <is>
          <t xml:space="preserve">Le repentir et le pardon</t>
        </is>
      </c>
      <c r="D43" s="78" t="inlineStr">
        <is>
          <t xml:space="preserve">Ash-Shuraa 42:25</t>
        </is>
      </c>
      <c r="E43" s="76" t="inlineStr">
        <is>
          <t xml:space="preserve">وَهُوَ ٱلَّذِى يَقْبَلُ ٱلتَّوْبَةَ عَنْ عِبَادِهِۦ وَيَعْفُوا۟ عَنِ ٱلسَّيِّـَٔاتِ وَيَعْلَمُ مَا تَفْعَلُونَ</t>
        </is>
      </c>
      <c r="F43" s="32" t="inlineStr">
        <is>
          <t xml:space="preserve">Et c’est Lui qui agrée de Ses serviteurs le repentir, pardonne les méfaits et sait ce que vous faites.</t>
        </is>
      </c>
    </row>
    <row r="44" ht="66" customHeight="1">
      <c r="B44" s="44">
        <v>4</v>
      </c>
      <c r="C44" s="32" t="inlineStr">
        <is>
          <t xml:space="preserve">Le repentir et le pardon</t>
        </is>
      </c>
      <c r="D44" s="78" t="inlineStr">
        <is>
          <t xml:space="preserve">Al-A'raf 7:23</t>
        </is>
      </c>
      <c r="E44" s="76" t="inlineStr">
        <is>
          <t xml:space="preserve">قَالَا رَبَّنَا ظَلَمْنَآ أَنفُسَنَا وَإِن لَّمْ تَغْفِرْ لَنَا وَتَرْحَمْنَا لَنَكُونَنَّ مِنَ ٱلْخَـٰسِرِينَ</t>
        </is>
      </c>
      <c r="F44" s="32" t="inlineStr">
        <is>
          <t xml:space="preserve">Tous deux dirent : "Ô notre Seigneur ! Nous avons fait du tort à nous-mêmes. Et si Tu ne nous pardonnes pas et ne nous fais pas miséricorde, nous serons très certainement du nombre des perdants."</t>
        </is>
      </c>
    </row>
    <row r="45" ht="41" customHeight="1">
      <c r="B45" s="44">
        <v>4</v>
      </c>
      <c r="C45" s="32" t="inlineStr">
        <is>
          <t xml:space="preserve">Le repentir et le pardon</t>
        </is>
      </c>
      <c r="D45" s="78" t="inlineStr">
        <is>
          <t xml:space="preserve">Nuh 71:10</t>
        </is>
      </c>
      <c r="E45" s="76" t="inlineStr">
        <is>
          <t xml:space="preserve">فَقُلْتُ ٱسْتَغْفِرُوا۟ رَبَّكُمْ إِنَّهُۥ كَانَ غَفَّارًا</t>
        </is>
      </c>
      <c r="F45" s="32" t="inlineStr">
        <is>
          <t xml:space="preserve">J’ai donc dit : "Implorez le pardon de votre Seigneur, car Il est grand Pardonneur,</t>
        </is>
      </c>
    </row>
    <row r="46" ht="66" customHeight="1">
      <c r="B46" s="44">
        <v>5</v>
      </c>
      <c r="C46" s="32" t="inlineStr">
        <is>
          <t xml:space="preserve">La reconnaissance</t>
        </is>
      </c>
      <c r="D46" s="78" t="inlineStr">
        <is>
          <t xml:space="preserve">Ibrahim 14:7</t>
        </is>
      </c>
      <c r="E46" s="76" t="inlineStr">
        <is>
          <t xml:space="preserve">وَإِذْ تَأَذَّنَ رَبُّكُمْ لَئِن شَكَرْتُمْ لَأَزِيدَنَّكُمْ ۖ وَلَئِن كَفَرْتُمْ إِنَّ عَذَابِى لَشَدِيدٌ</t>
        </is>
      </c>
      <c r="F46" s="32" t="inlineStr">
        <is>
          <t xml:space="preserve">Et lorsque votre Seigneur proclama : "Si vous êtes reconnaissants, très certainement J’augmenterai [Mes bienfaits] pour vous. Mais si vous êtes ingrats , alors Mon châtiment sera terrible !"</t>
        </is>
      </c>
    </row>
    <row r="47" ht="68" customHeight="1">
      <c r="B47" s="44">
        <v>5</v>
      </c>
      <c r="C47" s="32" t="inlineStr">
        <is>
          <t xml:space="preserve">La reconnaissance</t>
        </is>
      </c>
      <c r="D47" s="78" t="inlineStr">
        <is>
          <t xml:space="preserve">Luqman 31:12</t>
        </is>
      </c>
      <c r="E47" s="76" t="inlineStr">
        <is>
          <t xml:space="preserve">وَلَقَدْ ءَاتَيْنَا لُقْمَـٰنَ ٱلْحِكْمَةَ أَنِ ٱشْكُرْ لِلَّهِ ۚ وَمَن يَشْكُرْ فَإِنَّمَا يَشْكُرُ لِنَفْسِهِۦ ۖ وَمَن كَفَرَ فَإِنَّ ٱللَّهَ غَنِىٌّ حَمِيدٌ</t>
        </is>
      </c>
      <c r="F47" s="32" t="inlineStr">
        <is>
          <t xml:space="preserve">Nous avons effectivement donné à Luqmân la sagesse : "Sois reconnaissant envers Allah, car quiconque est reconnaissant, n’est reconnaissant que pour soi- même; quant à celui qui est ingrat... En vérité, Allah se dispense de tout, et Il est digne de louange."</t>
        </is>
      </c>
    </row>
    <row r="48" ht="66" customHeight="1">
      <c r="B48" s="44">
        <v>5</v>
      </c>
      <c r="C48" s="32" t="inlineStr">
        <is>
          <t xml:space="preserve">La reconnaissance</t>
        </is>
      </c>
      <c r="D48" s="78" t="inlineStr">
        <is>
          <t xml:space="preserve">An-Nahl 16:78</t>
        </is>
      </c>
      <c r="E48" s="76" t="inlineStr">
        <is>
          <t xml:space="preserve">وَٱللَّهُ أَخْرَجَكُم مِّنۢ بُطُونِ أُمَّهَـٰتِكُمْ لَا تَعْلَمُونَ شَيْـًٔا وَجَعَلَ لَكُمُ ٱلسَّمْعَ وَٱلْأَبْصَـٰرَ وَٱلْأَفْـِٔدَةَ ۙ لَعَلَّكُمْ تَشْكُرُونَ</t>
        </is>
      </c>
      <c r="F48" s="32" t="inlineStr">
        <is>
          <t xml:space="preserve">Et Allah vous a fait sortir des ventres de vos mères, dénués de tout savoir, et vous a donné l’ouïe, les yeux et les cœurs (l’intelligence), afin que vous soyez reconnaissants.</t>
        </is>
      </c>
    </row>
    <row r="49" ht="66" customHeight="1">
      <c r="B49" s="44">
        <v>5</v>
      </c>
      <c r="C49" s="32" t="inlineStr">
        <is>
          <t xml:space="preserve">La reconnaissance</t>
        </is>
      </c>
      <c r="D49" s="78" t="inlineStr">
        <is>
          <t xml:space="preserve">An-Nahl 16:18</t>
        </is>
      </c>
      <c r="E49" s="76" t="inlineStr">
        <is>
          <t xml:space="preserve">وَإِن تَعُدُّوا۟ نِعْمَةَ ٱللَّهِ لَا تُحْصُوهَآ ۗ إِنَّ ٱللَّهَ لَغَفُورٌ رَّحِيمٌ</t>
        </is>
      </c>
      <c r="F49" s="32" t="inlineStr">
        <is>
          <t xml:space="preserve">Et si vous essayiez de compter les bienfaits d'Allah, vous ne sauriez les dénombrer. En vérité, Allah est Pardonneur et Miséricordieux.</t>
        </is>
      </c>
    </row>
    <row r="50" ht="118" customHeight="1">
      <c r="B50" s="44">
        <v>5</v>
      </c>
      <c r="C50" s="32" t="inlineStr">
        <is>
          <t xml:space="preserve">La reconnaissance</t>
        </is>
      </c>
      <c r="D50" s="78" t="inlineStr">
        <is>
          <t xml:space="preserve">An-Naml 27:40</t>
        </is>
      </c>
      <c r="E50" s="76" t="inlineStr">
        <is>
          <t xml:space="preserve">قَالَ ٱلَّذِى عِندَهُۥ عِلْمٌ مِّنَ ٱلْكِتَـٰبِ أَنَا۠ ءَاتِيكَ بِهِۦ قَبْلَ أَن يَرْتَدَّ إِلَيْكَ طَرْفُكَ ۚ فَلَمَّا رَءَاهُ مُسْتَقِرًّا عِندَهُۥ قَالَ هَـٰذَا مِن فَضْلِ رَبِّى لِيَبْلُوَنِىٓ ءَأَشْكُرُ أَمْ أَكْفُرُ ۖ وَمَن شَكَرَ فَإِنَّمَا يَشْكُرُ لِنَفْسِهِۦ ۖ وَمَن كَفَرَ فَإِنَّ رَبِّى غَنِىٌّ كَرِيمٌ</t>
        </is>
      </c>
      <c r="F50" s="32" t="inlineStr">
        <is>
          <t xml:space="preserve">Quelqu’un qui avait une connaissance du Livre dit : “Je te l’apporterai avant que tu n’aies cligné de l’œil.” Quand, ensuite, Salomon vit le trône installé auprès de lui, il dit : “Cela est de la grâce de mon Seigneur, pour m’éprouver si je suis reconnaissant ou si je suis ingrat. Et quiconque est reconnaissant, c’est dans son propre intérêt qu’il le fait; et quiconque est ingrat... alors mon Seigneur Se suffit à Lui-même et Il est Généreux.”</t>
        </is>
      </c>
    </row>
    <row r="51" ht="92" customHeight="1">
      <c r="B51" s="44">
        <v>5</v>
      </c>
      <c r="C51" s="32" t="inlineStr">
        <is>
          <t xml:space="preserve">La reconnaissance</t>
        </is>
      </c>
      <c r="D51" s="78" t="inlineStr">
        <is>
          <t xml:space="preserve">Saba 34:13</t>
        </is>
      </c>
      <c r="E51" s="76" t="inlineStr">
        <is>
          <t xml:space="preserve">يَعْمَلُونَ لَهُۥ مَا يَشَآءُ مِن مَّحَـٰرِيبَ وَتَمَـٰثِيلَ وَجِفَانٍ كَٱلْجَوَابِ وَقُدُورٍ رَّاسِيَـٰتٍ ۚ ٱعْمَلُوٓا۟ ءَالَ دَاوُۥدَ شُكْرًا ۚ وَقَلِيلٌ مِّنْ عِبَادِىَ ٱلشَّكُورُ</t>
        </is>
      </c>
      <c r="F51" s="32" t="inlineStr">
        <is>
          <t xml:space="preserve">Ils exécutaient pour lui ce qu’il voulait : sanctuaires, statues , plateaux comme des bassins et marmites bien ancrées. "Ô famille de David, œuvrez par gratitude", alors qu’il y a peu de Mes serviteurs qui sont reconnaissants.</t>
        </is>
      </c>
    </row>
    <row r="52" ht="66" customHeight="1">
      <c r="B52" s="44">
        <v>5</v>
      </c>
      <c r="C52" s="32" t="inlineStr">
        <is>
          <t xml:space="preserve">La reconnaissance</t>
        </is>
      </c>
      <c r="D52" s="78" t="inlineStr">
        <is>
          <t xml:space="preserve">Al-Baqarah 2:172</t>
        </is>
      </c>
      <c r="E52" s="76" t="inlineStr">
        <is>
          <t xml:space="preserve">يَـٰٓأَيُّهَا ٱلَّذِينَ ءَامَنُوا۟ كُلُوا۟ مِن طَيِّبَـٰتِ مَا رَزَقْنَـٰكُمْ وَٱشْكُرُوا۟ لِلَّهِ إِن كُنتُمْ إِيَّاهُ تَعْبُدُونَ</t>
        </is>
      </c>
      <c r="F52" s="32" t="inlineStr">
        <is>
          <t xml:space="preserve">Ô les croyants! Mangez des bonnes choses licites que Nous vous avons attribuées. Et remerciez Allah, si c’est Lui que vous adorez.</t>
        </is>
      </c>
    </row>
    <row r="53" ht="66" customHeight="1">
      <c r="B53" s="44">
        <v>5</v>
      </c>
      <c r="C53" s="32" t="inlineStr">
        <is>
          <t xml:space="preserve">La reconnaissance</t>
        </is>
      </c>
      <c r="D53" s="78" t="inlineStr">
        <is>
          <t xml:space="preserve">Al-A'raf 7:10</t>
        </is>
      </c>
      <c r="E53" s="76" t="inlineStr">
        <is>
          <t xml:space="preserve">وَلَقَدْ مَكَّنَّـٰكُمْ فِى ٱلْأَرْضِ وَجَعَلْنَا لَكُمْ فِيهَا مَعَـٰيِشَ ۗ قَلِيلًا مَّا تَشْكُرُونَ</t>
        </is>
      </c>
      <c r="F53" s="32" t="inlineStr">
        <is>
          <t xml:space="preserve">Certes, Nous vous avons bien établis sur Terre et Nous vous y avons assigné des moyens de subsistance. (Mais) vous êtes très peu reconnaissants!</t>
        </is>
      </c>
    </row>
    <row r="54" ht="40" customHeight="1">
      <c r="B54" s="44">
        <v>5</v>
      </c>
      <c r="C54" s="32" t="inlineStr">
        <is>
          <t xml:space="preserve">La reconnaissance</t>
        </is>
      </c>
      <c r="D54" s="78" t="inlineStr">
        <is>
          <t xml:space="preserve">Ad-Duhaa 93:11</t>
        </is>
      </c>
      <c r="E54" s="76" t="inlineStr">
        <is>
          <t xml:space="preserve">وَأَمَّا بِنِعْمَةِ رَبِّكَ فَحَدِّثْ</t>
        </is>
      </c>
      <c r="F54" s="32" t="inlineStr">
        <is>
          <t xml:space="preserve">Et quant au bienfait de ton Seigneur, proclame-le.</t>
        </is>
      </c>
    </row>
    <row r="55" ht="92" customHeight="1">
      <c r="B55" s="44">
        <v>5</v>
      </c>
      <c r="C55" s="32" t="inlineStr">
        <is>
          <t xml:space="preserve">La reconnaissance</t>
        </is>
      </c>
      <c r="D55" s="78" t="inlineStr">
        <is>
          <t xml:space="preserve">Ali 'Imran 3:144</t>
        </is>
      </c>
      <c r="E55" s="76" t="inlineStr">
        <is>
          <t xml:space="preserve">وَمَا مُحَمَّدٌ إِلَّا رَسُولٌ قَدْ خَلَتْ مِن قَبْلِهِ ٱلرُّسُلُ ۚ أَفَإِي۟ن مَّاتَ أَوْ قُتِلَ ٱنقَلَبْتُمْ عَلَىٰٓ أَعْقَـٰبِكُمْ ۚ وَمَن يَنقَلِبْ عَلَىٰ عَقِبَيْهِ فَلَن يَضُرَّ ٱللَّهَ شَيْـًٔا ۗ وَسَيَجْزِى ٱللَّهُ ٱلشَّـٰكِرِينَ</t>
        </is>
      </c>
      <c r="F55" s="32" t="inlineStr">
        <is>
          <t xml:space="preserve">Mohammad n’est qu’un Messager - des Messagers avant lui sont passés - S’il mourait, donc, ou s’il était tué, retourneriez-vous sur vos talons? Quiconque retourne sur ses talons ne nuira en rien à Allah ; et Allah récompensera bientôt les reconnaissants.</t>
        </is>
      </c>
    </row>
    <row r="56" ht="66" customHeight="1">
      <c r="B56" s="44">
        <v>6</v>
      </c>
      <c r="C56" s="32" t="inlineStr">
        <is>
          <t xml:space="preserve">La patience</t>
        </is>
      </c>
      <c r="D56" s="78" t="inlineStr">
        <is>
          <t xml:space="preserve">Al-Baqarah 2:155</t>
        </is>
      </c>
      <c r="E56" s="76" t="inlineStr">
        <is>
          <t xml:space="preserve">وَلَنَبْلُوَنَّكُم بِشَىْءٍ مِّنَ ٱلْخَوْفِ وَٱلْجُوعِ وَنَقْصٍ مِّنَ ٱلْأَمْوَٰلِ وَٱلْأَنفُسِ وَٱلثَّمَرَٰتِ ۗ وَبَشِّرِ ٱلصَّـٰبِرِينَ</t>
        </is>
      </c>
      <c r="F56" s="32" t="inlineStr">
        <is>
          <t xml:space="preserve">Très certainement, Nous vous éprouverons par un peu de peur, de faim et de diminution de biens, de personnes et de fruits. Et fais la bonne annonce aux endurants,</t>
        </is>
      </c>
    </row>
    <row r="57" ht="66" customHeight="1">
      <c r="B57" s="44">
        <v>6</v>
      </c>
      <c r="C57" s="32" t="inlineStr">
        <is>
          <t xml:space="preserve">La patience</t>
        </is>
      </c>
      <c r="D57" s="78" t="inlineStr">
        <is>
          <t xml:space="preserve">Al-Baqarah 2:156</t>
        </is>
      </c>
      <c r="E57" s="76" t="inlineStr">
        <is>
          <t xml:space="preserve">ٱلَّذِينَ إِذَآ أَصَـٰبَتْهُم مُّصِيبَةٌ قَالُوٓا۟ إِنَّا لِلَّهِ وَإِنَّآ إِلَيْهِ رَٰجِعُونَ</t>
        </is>
      </c>
      <c r="F57" s="32" t="inlineStr">
        <is>
          <t xml:space="preserve">ceux qui disent, quand un malheur les atteint: "Certes nous sommes à Allah, et c’est à Lui que nous retournerons."</t>
        </is>
      </c>
    </row>
    <row r="58" ht="66" customHeight="1">
      <c r="B58" s="44">
        <v>6</v>
      </c>
      <c r="C58" s="32" t="inlineStr">
        <is>
          <t xml:space="preserve">La patience</t>
        </is>
      </c>
      <c r="D58" s="78" t="inlineStr">
        <is>
          <t xml:space="preserve">Al-Baqarah 2:157</t>
        </is>
      </c>
      <c r="E58" s="76" t="inlineStr">
        <is>
          <t xml:space="preserve">أُو۟لَـٰٓئِكَ عَلَيْهِمْ صَلَوَٰتٌ مِّن رَّبِّهِمْ وَرَحْمَةٌ ۖ وَأُو۟لَـٰٓئِكَ هُمُ ٱلْمُهْتَدُونَ</t>
        </is>
      </c>
      <c r="F58" s="32" t="inlineStr">
        <is>
          <t xml:space="preserve">Ceux-là reçoivent des bénédictions de leur Seigneur, ainsi que la miséricorde; ceux-là sont les biens guidés.</t>
        </is>
      </c>
    </row>
    <row r="59" ht="92" customHeight="1">
      <c r="B59" s="44">
        <v>6</v>
      </c>
      <c r="C59" s="32" t="inlineStr">
        <is>
          <t xml:space="preserve">La patience</t>
        </is>
      </c>
      <c r="D59" s="78" t="inlineStr">
        <is>
          <t xml:space="preserve">Az-Zumar 39:10</t>
        </is>
      </c>
      <c r="E59" s="76" t="inlineStr">
        <is>
          <t xml:space="preserve">قُلْ يَـٰعِبَادِ ٱلَّذِينَ ءَامَنُوا۟ ٱتَّقُوا۟ رَبَّكُمْ ۚ لِلَّذِينَ أَحْسَنُوا۟ فِى هَـٰذِهِ ٱلدُّنْيَا حَسَنَةٌ ۗ وَأَرْضُ ٱللَّهِ وَٰسِعَةٌ ۗ إِنَّمَا يُوَفَّى ٱلصَّـٰبِرُونَ أَجْرَهُم بِغَيْرِ حِسَابٍ</t>
        </is>
      </c>
      <c r="F59" s="32" t="inlineStr">
        <is>
          <t xml:space="preserve">Dis : "Ô Mes serviteurs qui avez cru ! Craignez votre Seigneur." Ceux qui ici-bas font le bien, auront une bonne [récompense]. La terre d’Allah est vaste et les endurants auront leur pleine récompense sans compter.</t>
        </is>
      </c>
    </row>
    <row r="60" ht="66" customHeight="1">
      <c r="B60" s="44">
        <v>6</v>
      </c>
      <c r="C60" s="32" t="inlineStr">
        <is>
          <t xml:space="preserve">La patience</t>
        </is>
      </c>
      <c r="D60" s="78" t="inlineStr">
        <is>
          <t xml:space="preserve">Ali 'Imran 3:200</t>
        </is>
      </c>
      <c r="E60" s="76" t="inlineStr">
        <is>
          <t xml:space="preserve">يَـٰٓأَيُّهَا ٱلَّذِينَ ءَامَنُوا۟ ٱصْبِرُوا۟ وَصَابِرُوا۟ وَرَابِطُوا۟ وَٱتَّقُوا۟ ٱللَّهَ لَعَلَّكُمْ تُفْلِحُونَ</t>
        </is>
      </c>
      <c r="F60" s="32" t="inlineStr">
        <is>
          <t xml:space="preserve">Ô les croyants! Soyez endurants. Incitez-vous à l’endurance. Luttez constamment (contre l’ennemi) et craignez Allah, afin que vous réussissiez!</t>
        </is>
      </c>
    </row>
    <row r="61" ht="66" customHeight="1">
      <c r="B61" s="44">
        <v>6</v>
      </c>
      <c r="C61" s="32" t="inlineStr">
        <is>
          <t xml:space="preserve">La patience</t>
        </is>
      </c>
      <c r="D61" s="78" t="inlineStr">
        <is>
          <t xml:space="preserve">Al-Anfal 8:46</t>
        </is>
      </c>
      <c r="E61" s="76" t="inlineStr">
        <is>
          <t xml:space="preserve">وَأَطِيعُوا۟ ٱللَّهَ وَرَسُولَهُۥ وَلَا تَنَـٰزَعُوا۟ فَتَفْشَلُوا۟ وَتَذْهَبَ رِيحُكُمْ ۖ وَٱصْبِرُوٓا۟ ۚ إِنَّ ٱللَّهَ مَعَ ٱلصَّـٰبِرِينَ</t>
        </is>
      </c>
      <c r="F61" s="32" t="inlineStr">
        <is>
          <t xml:space="preserve">Et obéissez à Allah et à Son Messager ! Et ne vous disputez pas, sinon vous fléchirez et perdrez votre force. Et soyez endurants, car Allah est avec les endurants.</t>
        </is>
      </c>
    </row>
    <row r="62" ht="40" customHeight="1">
      <c r="B62" s="44">
        <v>6</v>
      </c>
      <c r="C62" s="32" t="inlineStr">
        <is>
          <t xml:space="preserve">La patience</t>
        </is>
      </c>
      <c r="D62" s="78" t="inlineStr">
        <is>
          <t xml:space="preserve">Al-'Asr 103:1</t>
        </is>
      </c>
      <c r="E62" s="76" t="inlineStr">
        <is>
          <t xml:space="preserve"> وَٱلْعَصْرِ</t>
        </is>
      </c>
      <c r="F62" s="32" t="inlineStr">
        <is>
          <t xml:space="preserve">Par le Temps !</t>
        </is>
      </c>
    </row>
    <row r="63" ht="40" customHeight="1">
      <c r="B63" s="44">
        <v>6</v>
      </c>
      <c r="C63" s="32" t="inlineStr">
        <is>
          <t xml:space="preserve">La patience</t>
        </is>
      </c>
      <c r="D63" s="78" t="inlineStr">
        <is>
          <t xml:space="preserve">Al-'Asr 103:2</t>
        </is>
      </c>
      <c r="E63" s="76" t="inlineStr">
        <is>
          <t xml:space="preserve">إِنَّ ٱلْإِنسَـٰنَ لَفِى خُسْرٍ</t>
        </is>
      </c>
      <c r="F63" s="32" t="inlineStr">
        <is>
          <t xml:space="preserve">L’homme est certes, en perdition,</t>
        </is>
      </c>
    </row>
    <row r="64" ht="66" customHeight="1">
      <c r="B64" s="44">
        <v>6</v>
      </c>
      <c r="C64" s="32" t="inlineStr">
        <is>
          <t xml:space="preserve">La patience</t>
        </is>
      </c>
      <c r="D64" s="78" t="inlineStr">
        <is>
          <t xml:space="preserve">Al-'Asr 103:3</t>
        </is>
      </c>
      <c r="E64" s="76" t="inlineStr">
        <is>
          <t xml:space="preserve">إِلَّا ٱلَّذِينَ ءَامَنُوا۟ وَعَمِلُوا۟ ٱلصَّـٰلِحَـٰتِ وَتَوَاصَوْا۟ بِٱلْحَقِّ وَتَوَاصَوْا۟ بِٱلصَّبْرِ</t>
        </is>
      </c>
      <c r="F64" s="32" t="inlineStr">
        <is>
          <t xml:space="preserve">sauf ceux qui croient et accomplissent les bonnes œuvres, s’enjoignent mutuellement la vérité et s’enjoignent mutuellement l’endurance.</t>
        </is>
      </c>
    </row>
    <row r="65" ht="66" customHeight="1">
      <c r="B65" s="44">
        <v>6</v>
      </c>
      <c r="C65" s="32" t="inlineStr">
        <is>
          <t xml:space="preserve">La patience</t>
        </is>
      </c>
      <c r="D65" s="78" t="inlineStr">
        <is>
          <t xml:space="preserve">An-Nahl 16:127</t>
        </is>
      </c>
      <c r="E65" s="76" t="inlineStr">
        <is>
          <t xml:space="preserve">وَٱصْبِرْ وَمَا صَبْرُكَ إِلَّا بِٱللَّهِ ۚ وَلَا تَحْزَنْ عَلَيْهِمْ وَلَا تَكُ فِى ضَيْقٍ مِّمَّا يَمْكُرُونَ</t>
        </is>
      </c>
      <c r="F65" s="32" t="inlineStr">
        <is>
          <t xml:space="preserve">Endure ! Et ton endurance [ne viendra] qu’avec (l’aide) d’Allah. Et ne t’afflige pas pour eux. Et ne sois pas angoissé à cause de leurs complots !</t>
        </is>
      </c>
    </row>
    <row r="66" ht="66" customHeight="1">
      <c r="B66" s="44">
        <v>7</v>
      </c>
      <c r="C66" s="32" t="inlineStr">
        <is>
          <t xml:space="preserve">La prière</t>
        </is>
      </c>
      <c r="D66" s="78" t="inlineStr">
        <is>
          <t xml:space="preserve">Al-Baqarah 2:45</t>
        </is>
      </c>
      <c r="E66" s="76" t="inlineStr">
        <is>
          <t xml:space="preserve">وَٱسْتَعِينُوا۟ بِٱلصَّبْرِ وَٱلصَّلَوٰةِ ۚ وَإِنَّهَا لَكَبِيرَةٌ إِلَّا عَلَى ٱلْخَـٰشِعِينَ</t>
        </is>
      </c>
      <c r="F66" s="32" t="inlineStr">
        <is>
          <t xml:space="preserve">Et cherchez assistance dans l’endurance et la prière (Aṣ-Ṣalāt): certes, la prière (Aṣ-Ṣalāt) est une lourde obligation, sauf pour les humbles,</t>
        </is>
      </c>
    </row>
    <row r="67" ht="41" customHeight="1">
      <c r="B67" s="44">
        <v>7</v>
      </c>
      <c r="C67" s="32" t="inlineStr">
        <is>
          <t xml:space="preserve">La prière</t>
        </is>
      </c>
      <c r="D67" s="78" t="inlineStr">
        <is>
          <t xml:space="preserve">Al-Baqarah 2:46</t>
        </is>
      </c>
      <c r="E67" s="76" t="inlineStr">
        <is>
          <t xml:space="preserve">ٱلَّذِينَ يَظُنُّونَ أَنَّهُم مُّلَـٰقُوا۟ رَبِّهِمْ وَأَنَّهُمْ إِلَيْهِ رَٰجِعُونَ</t>
        </is>
      </c>
      <c r="F67" s="32" t="inlineStr">
        <is>
          <t xml:space="preserve">ceux qui ont la certitude de rencontrer leur Seigneur (après leur résurrection) et retourner à Lui seul.</t>
        </is>
      </c>
    </row>
    <row r="68" ht="92" customHeight="1">
      <c r="B68" s="44">
        <v>7</v>
      </c>
      <c r="C68" s="32" t="inlineStr">
        <is>
          <t xml:space="preserve">La prière</t>
        </is>
      </c>
      <c r="D68" s="78" t="inlineStr">
        <is>
          <t xml:space="preserve">Al-'Ankabut 29:45</t>
        </is>
      </c>
      <c r="E68" s="76" t="inlineStr">
        <is>
          <t xml:space="preserve">ٱتْلُ مَآ أُوحِىَ إِلَيْكَ مِنَ ٱلْكِتَـٰبِ وَأَقِمِ ٱلصَّلَوٰةَ ۖ إِنَّ ٱلصَّلَوٰةَ تَنْهَىٰ عَنِ ٱلْفَحْشَآءِ وَٱلْمُنكَرِ ۗ وَلَذِكْرُ ٱللَّهِ أَكْبَرُ ۗ وَٱللَّهُ يَعْلَمُ مَا تَصْنَعُونَ</t>
        </is>
      </c>
      <c r="F68" s="32" t="inlineStr">
        <is>
          <t xml:space="preserve">Récite ce qui t’est révélé du Livre et accomplis la prière (As-Salât). En vérité la prière (As-Salât) préserve de la turpitude et du blâmable. Et le rappel d’Allah est certes ce qu’il y a de plus grand. Et Allah sait ce que vous faites.</t>
        </is>
      </c>
    </row>
    <row r="69" ht="40" customHeight="1">
      <c r="B69" s="44">
        <v>7</v>
      </c>
      <c r="C69" s="32" t="inlineStr">
        <is>
          <t xml:space="preserve">La prière</t>
        </is>
      </c>
      <c r="D69" s="78" t="inlineStr">
        <is>
          <t xml:space="preserve">Al-Mu'minun 23:1</t>
        </is>
      </c>
      <c r="E69" s="76" t="inlineStr">
        <is>
          <t xml:space="preserve"> قَدْ أَفْلَحَ ٱلْمُؤْمِنُونَ</t>
        </is>
      </c>
      <c r="F69" s="32" t="inlineStr">
        <is>
          <t xml:space="preserve">Bienheureux sont certes les croyants ,</t>
        </is>
      </c>
    </row>
    <row r="70" ht="40" customHeight="1">
      <c r="B70" s="44">
        <v>7</v>
      </c>
      <c r="C70" s="32" t="inlineStr">
        <is>
          <t xml:space="preserve">La prière</t>
        </is>
      </c>
      <c r="D70" s="78" t="inlineStr">
        <is>
          <t xml:space="preserve">Al-Mu'minun 23:2</t>
        </is>
      </c>
      <c r="E70" s="76" t="inlineStr">
        <is>
          <t xml:space="preserve">ٱلَّذِينَ هُمْ فِى صَلَاتِهِمْ خَـٰشِعُونَ</t>
        </is>
      </c>
      <c r="F70" s="32" t="inlineStr">
        <is>
          <t xml:space="preserve">ceux qui sont humbles dans leur prière (As-Salât),</t>
        </is>
      </c>
    </row>
    <row r="71" ht="66" customHeight="1">
      <c r="B71" s="44">
        <v>7</v>
      </c>
      <c r="C71" s="32" t="inlineStr">
        <is>
          <t xml:space="preserve">La prière</t>
        </is>
      </c>
      <c r="D71" s="78" t="inlineStr">
        <is>
          <t xml:space="preserve">Hud 11:114</t>
        </is>
      </c>
      <c r="E71" s="76" t="inlineStr">
        <is>
          <t xml:space="preserve">وَأَقِمِ ٱلصَّلَوٰةَ طَرَفَىِ ٱلنَّهَارِ وَزُلَفًا مِّنَ ٱلَّيْلِ ۚ إِنَّ ٱلْحَسَنَـٰتِ يُذْهِبْنَ ٱلسَّيِّـَٔاتِ ۚ ذَٰلِكَ ذِكْرَىٰ لِلذَّٰكِرِينَ</t>
        </is>
      </c>
      <c r="F71" s="32" t="inlineStr">
        <is>
          <t xml:space="preserve">Et accomplis la prière (As-Salât) aux deux extrémités du jour et à certaines heures de nuit. Les bonnes œuvres dissipent les mauvaises. Cela est une exhortation pour ceux qui réfléchissent.</t>
        </is>
      </c>
    </row>
    <row r="72" ht="92" customHeight="1">
      <c r="B72" s="44">
        <v>7</v>
      </c>
      <c r="C72" s="32" t="inlineStr">
        <is>
          <t xml:space="preserve">La prière</t>
        </is>
      </c>
      <c r="D72" s="78" t="inlineStr">
        <is>
          <t xml:space="preserve">An-Nisa 4:103</t>
        </is>
      </c>
      <c r="E72" s="76" t="inlineStr">
        <is>
          <t xml:space="preserve">فَإِذَا قَضَيْتُمُ ٱلصَّلَوٰةَ فَٱذْكُرُوا۟ ٱللَّهَ قِيَـٰمًا وَقُعُودًا وَعَلَىٰ جُنُوبِكُمْ ۚ فَإِذَا ٱطْمَأْنَنتُمْ فَأَقِيمُوا۟ ٱلصَّلَوٰةَ ۚ إِنَّ ٱلصَّلَوٰةَ كَانَتْ عَلَى ٱلْمُؤْمِنِينَ كِتَـٰبًا مَّوْقُوتًا</t>
        </is>
      </c>
      <c r="F72" s="32" t="inlineStr">
        <is>
          <t xml:space="preserve">Quand vous avez accompli la prière (As-Salât), invoquez le nom d’Allah, debout, assis ou couchés sur vos côtés. Puis lorsque vous êtes en sécurité, accomplissez laprière (As-Salât) [normalement], car la prière (As-Salât) demeure, pour les croyants, une prescription, à des temps déterminés.</t>
        </is>
      </c>
    </row>
    <row r="73" ht="66" customHeight="1">
      <c r="B73" s="44">
        <v>7</v>
      </c>
      <c r="C73" s="32" t="inlineStr">
        <is>
          <t xml:space="preserve">La prière</t>
        </is>
      </c>
      <c r="D73" s="78" t="inlineStr">
        <is>
          <t xml:space="preserve">Al-Baqarah 2:238</t>
        </is>
      </c>
      <c r="E73" s="76" t="inlineStr">
        <is>
          <t xml:space="preserve">حَـٰفِظُوا۟ عَلَى ٱلصَّلَوَٰتِ وَٱلصَّلَوٰةِ ٱلْوُسْطَىٰ وَقُومُوا۟ لِلَّهِ قَـٰنِتِينَ</t>
        </is>
      </c>
      <c r="F73" s="32" t="inlineStr">
        <is>
          <t xml:space="preserve">Soyez assidus aux prières (Aṣ-Ṣalawāt) et surtout la prière médiane (As-Salât Al Wustâ); et tenez-vous debout devant Allah, avec humilité .</t>
        </is>
      </c>
    </row>
    <row r="74" ht="66" customHeight="1">
      <c r="B74" s="44">
        <v>7</v>
      </c>
      <c r="C74" s="32" t="inlineStr">
        <is>
          <t xml:space="preserve">La prière</t>
        </is>
      </c>
      <c r="D74" s="78" t="inlineStr">
        <is>
          <t xml:space="preserve">Al-Isra 17:78</t>
        </is>
      </c>
      <c r="E74" s="76" t="inlineStr">
        <is>
          <t xml:space="preserve">أَقِمِ ٱلصَّلَوٰةَ لِدُلُوكِ ٱلشَّمْسِ إِلَىٰ غَسَقِ ٱلَّيْلِ وَقُرْءَانَ ٱلْفَجْرِ ۖ إِنَّ قُرْءَانَ ٱلْفَجْرِ كَانَ مَشْهُودًا</t>
        </is>
      </c>
      <c r="F74" s="32" t="inlineStr">
        <is>
          <t xml:space="preserve">Accomplis la prière (As-Salât) au déclin du soleil jusqu’à l’obscurité de la nuit, et [fais] aussi la Lecture (du Coran) à l’aube, car la Lecture (du Coran) à l’aube a des témoins .</t>
        </is>
      </c>
    </row>
    <row r="75" ht="66" customHeight="1">
      <c r="B75" s="44">
        <v>7</v>
      </c>
      <c r="C75" s="32" t="inlineStr">
        <is>
          <t xml:space="preserve">La prière</t>
        </is>
      </c>
      <c r="D75" s="78" t="inlineStr">
        <is>
          <t xml:space="preserve">Al-Isra 17:79</t>
        </is>
      </c>
      <c r="E75" s="76" t="inlineStr">
        <is>
          <t xml:space="preserve">وَمِنَ ٱلَّيْلِ فَتَهَجَّدْ بِهِۦ نَافِلَةً لَّكَ عَسَىٰٓ أَن يَبْعَثَكَ رَبُّكَ مَقَامًا مَّحْمُودًا</t>
        </is>
      </c>
      <c r="F75" s="32" t="inlineStr">
        <is>
          <t xml:space="preserve">Et de la nuit consacre une partie [avant l’aube] pour des prières surérogatoires afin que ton Seigneur te ressuscite en une position de gloire.</t>
        </is>
      </c>
    </row>
    <row r="76" ht="66" customHeight="1">
      <c r="B76" s="44">
        <v>8</v>
      </c>
      <c r="C76" s="32" t="inlineStr">
        <is>
          <t xml:space="preserve">Le Coran, un guide</t>
        </is>
      </c>
      <c r="D76" s="78" t="inlineStr">
        <is>
          <t xml:space="preserve">Al-Isra 17:9</t>
        </is>
      </c>
      <c r="E76" s="76" t="inlineStr">
        <is>
          <t xml:space="preserve">إِنَّ هَـٰذَا ٱلْقُرْءَانَ يَهْدِى لِلَّتِى هِىَ أَقْوَمُ وَيُبَشِّرُ ٱلْمُؤْمِنِينَ ٱلَّذِينَ يَعْمَلُونَ ٱلصَّـٰلِحَـٰتِ أَنَّ لَهُمْ أَجْرًا كَبِيرًا</t>
        </is>
      </c>
      <c r="F76" s="32" t="inlineStr">
        <is>
          <t xml:space="preserve">Certes, ce Coran guide vers ce qu’il y a de plus droit, et il annonce aux croyants qui font de bonnes œuvres qu’ils auront une grande récompense,</t>
        </is>
      </c>
    </row>
    <row r="77" ht="66" customHeight="1">
      <c r="B77" s="44">
        <v>8</v>
      </c>
      <c r="C77" s="32" t="inlineStr">
        <is>
          <t xml:space="preserve">Le Coran, un guide</t>
        </is>
      </c>
      <c r="D77" s="78" t="inlineStr">
        <is>
          <t xml:space="preserve">Al-Isra 17:82</t>
        </is>
      </c>
      <c r="E77" s="76" t="inlineStr">
        <is>
          <t xml:space="preserve">وَنُنَزِّلُ مِنَ ٱلْقُرْءَانِ مَا هُوَ شِفَآءٌ وَرَحْمَةٌ لِّلْمُؤْمِنِينَ ۙ وَلَا يَزِيدُ ٱلظَّـٰلِمِينَ إِلَّا خَسَارًا</t>
        </is>
      </c>
      <c r="F77" s="32" t="inlineStr">
        <is>
          <t xml:space="preserve">Nous faisons descendre du Coran, ce qui est une guérison et une miséricorde pour les croyants. Cependant, cela ne fait qu’accroître la perdition des injustes.</t>
        </is>
      </c>
    </row>
    <row r="78" ht="41" customHeight="1">
      <c r="B78" s="44">
        <v>8</v>
      </c>
      <c r="C78" s="32" t="inlineStr">
        <is>
          <t xml:space="preserve">Le Coran, un guide</t>
        </is>
      </c>
      <c r="D78" s="78" t="inlineStr">
        <is>
          <t xml:space="preserve">Al-Qamar 54:17</t>
        </is>
      </c>
      <c r="E78" s="76" t="inlineStr">
        <is>
          <t xml:space="preserve">وَلَقَدْ يَسَّرْنَا ٱلْقُرْءَانَ لِلذِّكْرِ فَهَلْ مِن مُّدَّكِرٍ</t>
        </is>
      </c>
      <c r="F78" s="32" t="inlineStr">
        <is>
          <t xml:space="preserve">En effet, Nous avons rendu le Coran facile pour la médiation. Y a-t- il quelqu’un pour réfléchir?</t>
        </is>
      </c>
    </row>
    <row r="79" ht="66" customHeight="1">
      <c r="B79" s="44">
        <v>8</v>
      </c>
      <c r="C79" s="32" t="inlineStr">
        <is>
          <t xml:space="preserve">Le Coran, un guide</t>
        </is>
      </c>
      <c r="D79" s="78" t="inlineStr">
        <is>
          <t xml:space="preserve">Al-Furqan 25:30</t>
        </is>
      </c>
      <c r="E79" s="76" t="inlineStr">
        <is>
          <t xml:space="preserve">وَقَالَ ٱلرَّسُولُ يَـٰرَبِّ إِنَّ قَوْمِى ٱتَّخَذُوا۟ هَـٰذَا ٱلْقُرْءَانَ مَهْجُورًا</t>
        </is>
      </c>
      <c r="F79" s="32" t="inlineStr">
        <is>
          <t xml:space="preserve">Et le Messager a dit : “Ô Seigneur ! Mon peuple a vraiment pris ce Coran pour une chose délaissée ! ”</t>
        </is>
      </c>
    </row>
    <row r="80" ht="41" customHeight="1">
      <c r="B80" s="44">
        <v>8</v>
      </c>
      <c r="C80" s="32" t="inlineStr">
        <is>
          <t xml:space="preserve">Le Coran, un guide</t>
        </is>
      </c>
      <c r="D80" s="78" t="inlineStr">
        <is>
          <t xml:space="preserve">Muhammad 47:24</t>
        </is>
      </c>
      <c r="E80" s="76" t="inlineStr">
        <is>
          <t xml:space="preserve">أَفَلَا يَتَدَبَّرُونَ ٱلْقُرْءَانَ أَمْ عَلَىٰ قُلُوبٍ أَقْفَالُهَآ</t>
        </is>
      </c>
      <c r="F80" s="32" t="inlineStr">
        <is>
          <t xml:space="preserve">Ne méditent-ils pas sur le Coran ? Ou y a-t-il des cadenas sur leurs cœurs ?</t>
        </is>
      </c>
    </row>
    <row r="81" ht="66" customHeight="1">
      <c r="B81" s="44">
        <v>8</v>
      </c>
      <c r="C81" s="32" t="inlineStr">
        <is>
          <t xml:space="preserve">Le Coran, un guide</t>
        </is>
      </c>
      <c r="D81" s="78" t="inlineStr">
        <is>
          <t xml:space="preserve">Sad 38:29</t>
        </is>
      </c>
      <c r="E81" s="76" t="inlineStr">
        <is>
          <t xml:space="preserve">كِتَـٰبٌ أَنزَلْنَـٰهُ إِلَيْكَ مُبَـٰرَكٌ لِّيَدَّبَّرُوٓا۟ ءَايَـٰتِهِۦ وَلِيَتَذَكَّرَ أُو۟لُوا۟ ٱلْأَلْبَـٰبِ</t>
        </is>
      </c>
      <c r="F81" s="32" t="inlineStr">
        <is>
          <t xml:space="preserve">[Voici] un Livre béni que Nous avons fait descendre vers toi, afin qu’ils méditent sur ses versets et que les doués d’intelligence réfléchissent !</t>
        </is>
      </c>
    </row>
    <row r="82" ht="92" customHeight="1">
      <c r="B82" s="44">
        <v>8</v>
      </c>
      <c r="C82" s="32" t="inlineStr">
        <is>
          <t xml:space="preserve">Le Coran, un guide</t>
        </is>
      </c>
      <c r="D82" s="78" t="inlineStr">
        <is>
          <t xml:space="preserve">Al-Hashr 59:21</t>
        </is>
      </c>
      <c r="E82" s="76" t="inlineStr">
        <is>
          <t xml:space="preserve">لَوْ أَنزَلْنَا هَـٰذَا ٱلْقُرْءَانَ عَلَىٰ جَبَلٍ لَّرَأَيْتَهُۥ خَـٰشِعًا مُّتَصَدِّعًا مِّنْ خَشْيَةِ ٱللَّهِ ۚ وَتِلْكَ ٱلْأَمْثَـٰلُ نَضْرِبُهَا لِلنَّاسِ لَعَلَّهُمْ يَتَفَكَّرُونَ</t>
        </is>
      </c>
      <c r="F82" s="32" t="inlineStr">
        <is>
          <t xml:space="preserve">Si Nous avions fait descendre ce Coran sur une montagne, tu l’aurais vu s’humilier et se fendre par crainte d’Allah. Et ces paraboles Nous les citons aux gens afin qu’ils réfléchissent.</t>
        </is>
      </c>
    </row>
    <row r="83" ht="41" customHeight="1">
      <c r="B83" s="44">
        <v>8</v>
      </c>
      <c r="C83" s="32" t="inlineStr">
        <is>
          <t xml:space="preserve">Le Coran, un guide</t>
        </is>
      </c>
      <c r="D83" s="78" t="inlineStr">
        <is>
          <t xml:space="preserve">Al-Hijr 15:9</t>
        </is>
      </c>
      <c r="E83" s="76" t="inlineStr">
        <is>
          <t xml:space="preserve">إِنَّا نَحْنُ نَزَّلْنَا ٱلذِّكْرَ وَإِنَّا لَهُۥ لَحَـٰفِظُونَ</t>
        </is>
      </c>
      <c r="F83" s="32" t="inlineStr">
        <is>
          <t xml:space="preserve">En vérité, c'est Nous qui avons fait descendre le Coran, et c'est Nous qui en sommes gardien .</t>
        </is>
      </c>
    </row>
    <row r="84" ht="66" customHeight="1">
      <c r="B84" s="44">
        <v>8</v>
      </c>
      <c r="C84" s="32" t="inlineStr">
        <is>
          <t xml:space="preserve">Le Coran, un guide</t>
        </is>
      </c>
      <c r="D84" s="78" t="inlineStr">
        <is>
          <t xml:space="preserve">Yunus 10:57</t>
        </is>
      </c>
      <c r="E84" s="76" t="inlineStr">
        <is>
          <t xml:space="preserve">يَـٰٓأَيُّهَا ٱلنَّاسُ قَدْ جَآءَتْكُم مَّوْعِظَةٌ مِّن رَّبِّكُمْ وَشِفَآءٌ لِّمَا فِى ٱلصُّدُورِ وَهُدًى وَرَحْمَةٌ لِّلْمُؤْمِنِينَ</t>
        </is>
      </c>
      <c r="F84" s="32" t="inlineStr">
        <is>
          <t xml:space="preserve">Ô gens ! Une exhortation vous est venue, de votre Seigneur, une guérison de ce qui est dans les poitrines, un guide et une miséricorde pour les croyants.</t>
        </is>
      </c>
    </row>
    <row r="85" ht="66" customHeight="1">
      <c r="B85" s="44">
        <v>8</v>
      </c>
      <c r="C85" s="32" t="inlineStr">
        <is>
          <t xml:space="preserve">Le Coran, un guide</t>
        </is>
      </c>
      <c r="D85" s="78" t="inlineStr">
        <is>
          <t xml:space="preserve">Al-A'raf 7:204</t>
        </is>
      </c>
      <c r="E85" s="76" t="inlineStr">
        <is>
          <t xml:space="preserve">وَإِذَا قُرِئَ ٱلْقُرْءَانُ فَٱسْتَمِعُوا۟ لَهُۥ وَأَنصِتُوا۟ لَعَلَّكُمْ تُرْحَمُونَ</t>
        </is>
      </c>
      <c r="F85" s="32" t="inlineStr">
        <is>
          <t xml:space="preserve">Et quand on récite le Coran, prêtez-lui l’oreille attentivement et observez le silence, afin que vous obteniez la miséricorde (d’Allah).</t>
        </is>
      </c>
    </row>
    <row r="86" ht="40" customHeight="1">
      <c r="B86" s="44">
        <v>9</v>
      </c>
      <c r="C86" s="32" t="inlineStr">
        <is>
          <t xml:space="preserve">La prière de la nuit</t>
        </is>
      </c>
      <c r="D86" s="78" t="inlineStr">
        <is>
          <t xml:space="preserve">Al-Muzzammil 73:1</t>
        </is>
      </c>
      <c r="E86" s="76" t="inlineStr">
        <is>
          <t xml:space="preserve"> يَـٰٓأَيُّهَا ٱلْمُزَّمِّلُ</t>
        </is>
      </c>
      <c r="F86" s="32" t="inlineStr">
        <is>
          <t xml:space="preserve">Ô toi , l’enveloppé [dans tes vêtements] !</t>
        </is>
      </c>
    </row>
    <row r="87" ht="40" customHeight="1">
      <c r="B87" s="44">
        <v>9</v>
      </c>
      <c r="C87" s="32" t="inlineStr">
        <is>
          <t xml:space="preserve">La prière de la nuit</t>
        </is>
      </c>
      <c r="D87" s="78" t="inlineStr">
        <is>
          <t xml:space="preserve">Al-Muzzammil 73:2</t>
        </is>
      </c>
      <c r="E87" s="76" t="inlineStr">
        <is>
          <t xml:space="preserve">قُمِ ٱلَّيْلَ إِلَّا قَلِيلًا</t>
        </is>
      </c>
      <c r="F87" s="32" t="inlineStr">
        <is>
          <t xml:space="preserve">Lève-toi [pour prier], toute la nuit, excepté une petite partie;</t>
        </is>
      </c>
    </row>
    <row r="88" ht="40" customHeight="1">
      <c r="B88" s="44">
        <v>9</v>
      </c>
      <c r="C88" s="32" t="inlineStr">
        <is>
          <t xml:space="preserve">La prière de la nuit</t>
        </is>
      </c>
      <c r="D88" s="78" t="inlineStr">
        <is>
          <t xml:space="preserve">Al-Muzzammil 73:3</t>
        </is>
      </c>
      <c r="E88" s="76" t="inlineStr">
        <is>
          <t xml:space="preserve">نِّصْفَهُۥٓ أَوِ ٱنقُصْ مِنْهُ قَلِيلًا</t>
        </is>
      </c>
      <c r="F88" s="32" t="inlineStr">
        <is>
          <t xml:space="preserve">Sa moitié, ou un peu moins ;</t>
        </is>
      </c>
    </row>
    <row r="89" ht="40" customHeight="1">
      <c r="B89" s="44">
        <v>9</v>
      </c>
      <c r="C89" s="32" t="inlineStr">
        <is>
          <t xml:space="preserve">La prière de la nuit</t>
        </is>
      </c>
      <c r="D89" s="78" t="inlineStr">
        <is>
          <t xml:space="preserve">Al-Muzzammil 73:4</t>
        </is>
      </c>
      <c r="E89" s="76" t="inlineStr">
        <is>
          <t xml:space="preserve">أَوْ زِدْ عَلَيْهِ وَرَتِّلِ ٱلْقُرْءَانَ تَرْتِيلًا</t>
        </is>
      </c>
      <c r="F89" s="32" t="inlineStr">
        <is>
          <t xml:space="preserve">ou un peu plus. Et récite le Coran, lentement et clairement.</t>
        </is>
      </c>
    </row>
    <row r="90" ht="40" customHeight="1">
      <c r="B90" s="44">
        <v>9</v>
      </c>
      <c r="C90" s="32" t="inlineStr">
        <is>
          <t xml:space="preserve">La prière de la nuit</t>
        </is>
      </c>
      <c r="D90" s="78" t="inlineStr">
        <is>
          <t xml:space="preserve">Al-Muzzammil 73:5</t>
        </is>
      </c>
      <c r="E90" s="76" t="inlineStr">
        <is>
          <t xml:space="preserve">إِنَّا سَنُلْقِى عَلَيْكَ قَوْلًا ثَقِيلًا</t>
        </is>
      </c>
      <c r="F90" s="32" t="inlineStr">
        <is>
          <t xml:space="preserve">Nous allons te révéler des paroles lourdes (très importantes).</t>
        </is>
      </c>
    </row>
    <row r="91" ht="41" customHeight="1">
      <c r="B91" s="44">
        <v>9</v>
      </c>
      <c r="C91" s="32" t="inlineStr">
        <is>
          <t xml:space="preserve">La prière de la nuit</t>
        </is>
      </c>
      <c r="D91" s="78" t="inlineStr">
        <is>
          <t xml:space="preserve">Al-Muzzammil 73:6</t>
        </is>
      </c>
      <c r="E91" s="76" t="inlineStr">
        <is>
          <t xml:space="preserve">إِنَّ نَاشِئَةَ ٱلَّيْلِ هِىَ أَشَدُّ وَطْـًٔا وَأَقْوَمُ قِيلًا</t>
        </is>
      </c>
      <c r="F91" s="32" t="inlineStr">
        <is>
          <t xml:space="preserve">La prière pendant la nuit est plus efficace et plus propice pour la récitation.</t>
        </is>
      </c>
    </row>
    <row r="92" ht="66" customHeight="1">
      <c r="B92" s="44">
        <v>9</v>
      </c>
      <c r="C92" s="32" t="inlineStr">
        <is>
          <t xml:space="preserve">La prière de la nuit</t>
        </is>
      </c>
      <c r="D92" s="78" t="inlineStr">
        <is>
          <t xml:space="preserve">As-Sajdah 32:16</t>
        </is>
      </c>
      <c r="E92" s="76" t="inlineStr">
        <is>
          <t xml:space="preserve">تَتَجَافَىٰ جُنُوبُهُمْ عَنِ ٱلْمَضَاجِعِ يَدْعُونَ رَبَّهُمْ خَوْفًا وَطَمَعًا وَمِمَّا رَزَقْنَـٰهُمْ يُنفِقُونَ</t>
        </is>
      </c>
      <c r="F92" s="32" t="inlineStr">
        <is>
          <t xml:space="preserve">Ils s’arrachent de leurs lits pour invoquer leur Seigneur, par crainte et espoir; et ils font largesse de ce que Nous Leur attribuons.</t>
        </is>
      </c>
    </row>
    <row r="93" ht="66" customHeight="1">
      <c r="B93" s="44">
        <v>9</v>
      </c>
      <c r="C93" s="32" t="inlineStr">
        <is>
          <t xml:space="preserve">La prière de la nuit</t>
        </is>
      </c>
      <c r="D93" s="78" t="inlineStr">
        <is>
          <t xml:space="preserve">As-Sajdah 32:17</t>
        </is>
      </c>
      <c r="E93" s="76" t="inlineStr">
        <is>
          <t xml:space="preserve">فَلَا تَعْلَمُ نَفْسٌ مَّآ أُخْفِىَ لَهُم مِّن قُرَّةِ أَعْيُنٍ جَزَآءًۢ بِمَا كَانُوا۟ يَعْمَلُونَ</t>
        </is>
      </c>
      <c r="F93" s="32" t="inlineStr">
        <is>
          <t xml:space="preserve">Aucun être ne sait ce qu’on a réservé pour eux comme réjouissance pour les yeux, en récompense de ce qu’ils œuvraient !</t>
        </is>
      </c>
    </row>
    <row r="94" ht="40" customHeight="1">
      <c r="B94" s="44">
        <v>9</v>
      </c>
      <c r="C94" s="32" t="inlineStr">
        <is>
          <t xml:space="preserve">La prière de la nuit</t>
        </is>
      </c>
      <c r="D94" s="78" t="inlineStr">
        <is>
          <t xml:space="preserve">Adh-Dhariyat 51:17</t>
        </is>
      </c>
      <c r="E94" s="76" t="inlineStr">
        <is>
          <t xml:space="preserve">كَانُوا۟ قَلِيلًا مِّنَ ٱلَّيْلِ مَا يَهْجَعُونَ</t>
        </is>
      </c>
      <c r="F94" s="32" t="inlineStr">
        <is>
          <t xml:space="preserve">ils dormaient peu, la nuit ,</t>
        </is>
      </c>
    </row>
    <row r="95" ht="40" customHeight="1">
      <c r="B95" s="44">
        <v>9</v>
      </c>
      <c r="C95" s="32" t="inlineStr">
        <is>
          <t xml:space="preserve">La prière de la nuit</t>
        </is>
      </c>
      <c r="D95" s="78" t="inlineStr">
        <is>
          <t xml:space="preserve">Adh-Dhariyat 51:18</t>
        </is>
      </c>
      <c r="E95" s="76" t="inlineStr">
        <is>
          <t xml:space="preserve">وَبِٱلْأَسْحَارِ هُمْ يَسْتَغْفِرُونَ</t>
        </is>
      </c>
      <c r="F95" s="32" t="inlineStr">
        <is>
          <t xml:space="preserve">et aux dernières heures de la nuit ils imploraient le pardon [d’Allah] ;</t>
        </is>
      </c>
    </row>
    <row r="96" ht="66" customHeight="1">
      <c r="B96" s="44">
        <v>10</v>
      </c>
      <c r="C96" s="32" t="inlineStr">
        <is>
          <t xml:space="preserve">L'invocation</t>
        </is>
      </c>
      <c r="D96" s="78" t="inlineStr">
        <is>
          <t xml:space="preserve">Ghafir 40:60</t>
        </is>
      </c>
      <c r="E96" s="76" t="inlineStr">
        <is>
          <t xml:space="preserve">وَقَالَ رَبُّكُمُ ٱدْعُونِىٓ أَسْتَجِبْ لَكُمْ ۚ إِنَّ ٱلَّذِينَ يَسْتَكْبِرُونَ عَنْ عِبَادَتِى سَيَدْخُلُونَ جَهَنَّمَ دَاخِرِينَ</t>
        </is>
      </c>
      <c r="F96" s="32" t="inlineStr">
        <is>
          <t xml:space="preserve">Et votre Seigneur dit : "Appelez-Moi, Je vous répondrai. Ceux qui, par orgueil, se refusent à M’adorer entreront bientôt dans l’Enfer, humiliés."</t>
        </is>
      </c>
    </row>
    <row r="97" ht="41" customHeight="1">
      <c r="B97" s="44">
        <v>10</v>
      </c>
      <c r="C97" s="32" t="inlineStr">
        <is>
          <t xml:space="preserve">L'invocation</t>
        </is>
      </c>
      <c r="D97" s="78" t="inlineStr">
        <is>
          <t xml:space="preserve">Al-A'raf 7:55</t>
        </is>
      </c>
      <c r="E97" s="76" t="inlineStr">
        <is>
          <t xml:space="preserve">ٱدْعُوا۟ رَبَّكُمْ تَضَرُّعًا وَخُفْيَةً ۚ إِنَّهُۥ لَا يُحِبُّ ٱلْمُعْتَدِينَ</t>
        </is>
      </c>
      <c r="F97" s="32" t="inlineStr">
        <is>
          <t xml:space="preserve">Invoquez votre Seigneur humblement et discrètement. Certes, Il n’aime pas les transgresseurs.</t>
        </is>
      </c>
    </row>
    <row r="98" ht="66" customHeight="1">
      <c r="B98" s="44">
        <v>10</v>
      </c>
      <c r="C98" s="32" t="inlineStr">
        <is>
          <t xml:space="preserve">L'invocation</t>
        </is>
      </c>
      <c r="D98" s="78" t="inlineStr">
        <is>
          <t xml:space="preserve">Al-A'raf 7:56</t>
        </is>
      </c>
      <c r="E98" s="76" t="inlineStr">
        <is>
          <t xml:space="preserve">وَلَا تُفْسِدُوا۟ فِى ٱلْأَرْضِ بَعْدَ إِصْلَـٰحِهَا وَٱدْعُوهُ خَوْفًا وَطَمَعًا ۚ إِنَّ رَحْمَتَ ٱللَّهِ قَرِيبٌ مِّنَ ٱلْمُحْسِنِينَ</t>
        </is>
      </c>
      <c r="F98" s="32" t="inlineStr">
        <is>
          <t xml:space="preserve">Et ne semez pas la corruption sur la Terre après qu’elle ait été réformée. Et invoquez-Le avec crainte et espoir, certes la miséricorde d’Allah est proche des bienfaisants.</t>
        </is>
      </c>
    </row>
    <row r="99" ht="68" customHeight="1">
      <c r="B99" s="44">
        <v>10</v>
      </c>
      <c r="C99" s="32" t="inlineStr">
        <is>
          <t xml:space="preserve">L'invocation</t>
        </is>
      </c>
      <c r="D99" s="78" t="inlineStr">
        <is>
          <t xml:space="preserve">An-Naml 27:62</t>
        </is>
      </c>
      <c r="E99" s="76" t="inlineStr">
        <is>
          <t xml:space="preserve">أَمَّن يُجِيبُ ٱلْمُضْطَرَّ إِذَا دَعَاهُ وَيَكْشِفُ ٱلسُّوٓءَ وَيَجْعَلُكُمْ خُلَفَآءَ ٱلْأَرْضِ ۗ أَءِلَـٰهٌ مَّعَ ٱللَّهِ ۚ قَلِيلًا مَّا تَذَكَّرُونَ</t>
        </is>
      </c>
      <c r="F99" s="32" t="inlineStr">
        <is>
          <t xml:space="preserve">N’est-ce pas Lui qui répond à l'homme en détresse quand il L’invoque, et qui enlève le mal, et qui vous fait succéder sur la Terre, génération après génération. - Y a-t-il donc une divinité avec Allah? C’est rare que vous vous rappeliez !</t>
        </is>
      </c>
    </row>
    <row r="100" ht="66" customHeight="1">
      <c r="B100" s="44">
        <v>10</v>
      </c>
      <c r="C100" s="32" t="inlineStr">
        <is>
          <t xml:space="preserve">L'invocation</t>
        </is>
      </c>
      <c r="D100" s="78" t="inlineStr">
        <is>
          <t xml:space="preserve">Al-Anbya 21:83</t>
        </is>
      </c>
      <c r="E100" s="76" t="inlineStr">
        <is>
          <t xml:space="preserve">۞ وَأَيُّوبَ إِذْ نَادَىٰ رَبَّهُۥٓ أَنِّى مَسَّنِىَ ٱلضُّرُّ وَأَنتَ أَرْحَمُ ٱلرَّٰحِمِينَ</t>
        </is>
      </c>
      <c r="F100" s="32" t="inlineStr">
        <is>
          <t xml:space="preserve">Et Job, quand il implora son Seigneur : "Le mal m’a touché. Mais Toi, tu es le plus miséricordieux des miséricordieux !"</t>
        </is>
      </c>
    </row>
    <row r="101" ht="66" customHeight="1">
      <c r="B101" s="44">
        <v>10</v>
      </c>
      <c r="C101" s="32" t="inlineStr">
        <is>
          <t xml:space="preserve">L'invocation</t>
        </is>
      </c>
      <c r="D101" s="78" t="inlineStr">
        <is>
          <t xml:space="preserve">Al-Anbya 21:84</t>
        </is>
      </c>
      <c r="E101" s="76" t="inlineStr">
        <is>
          <t xml:space="preserve">فَٱسْتَجَبْنَا لَهُۥ فَكَشَفْنَا مَا بِهِۦ مِن ضُرٍّ ۖ وَءَاتَيْنَـٰهُ أَهْلَهُۥ وَمِثْلَهُم مَّعَهُمْ رَحْمَةً مِّنْ عِندِنَا وَذِكْرَىٰ لِلْعَـٰبِدِينَ</t>
        </is>
      </c>
      <c r="F101" s="32" t="inlineStr">
        <is>
          <t xml:space="preserve">Nous l’exauçâmes, enlevâmes le mal qu’il avait, lui rendîmes les siens et autant qu’eux avec eux, par miséricorde de Notre part et en tant que rappel aux adorateurs.</t>
        </is>
      </c>
    </row>
    <row r="102" ht="92" customHeight="1">
      <c r="B102" s="44">
        <v>10</v>
      </c>
      <c r="C102" s="32" t="inlineStr">
        <is>
          <t xml:space="preserve">L'invocation</t>
        </is>
      </c>
      <c r="D102" s="78" t="inlineStr">
        <is>
          <t xml:space="preserve">Al-Anbya 21:87</t>
        </is>
      </c>
      <c r="E102" s="76" t="inlineStr">
        <is>
          <t xml:space="preserve">وَذَا ٱلنُّونِ إِذ ذَّهَبَ مُغَـٰضِبًا فَظَنَّ أَن لَّن نَّقْدِرَ عَلَيْهِ فَنَادَىٰ فِى ٱلظُّلُمَـٰتِ أَن لَّآ إِلَـٰهَ إِلَّآ أَنتَ سُبْحَـٰنَكَ إِنِّى كُنتُ مِنَ ٱلظَّـٰلِمِينَ</t>
        </is>
      </c>
      <c r="F102" s="32" t="inlineStr">
        <is>
          <t xml:space="preserve">Et Jonas (Dhû-Nûn) quand il partit, irrité. Il pensa que Nous n’allions pas l’éprouver. Puis il fit, dans les ténèbres, l’appel que voici : "Pas de [véritable] divinité à part Toi ! Gloire à Toi ! J’ai été vraiment du nombre des injustes !"</t>
        </is>
      </c>
    </row>
    <row r="103" ht="66" customHeight="1">
      <c r="B103" s="44">
        <v>10</v>
      </c>
      <c r="C103" s="32" t="inlineStr">
        <is>
          <t xml:space="preserve">L'invocation</t>
        </is>
      </c>
      <c r="D103" s="78" t="inlineStr">
        <is>
          <t xml:space="preserve">Ali 'Imran 3:8</t>
        </is>
      </c>
      <c r="E103" s="76" t="inlineStr">
        <is>
          <t xml:space="preserve">رَبَّنَا لَا تُزِغْ قُلُوبَنَا بَعْدَ إِذْ هَدَيْتَنَا وَهَبْ لَنَا مِن لَّدُنكَ رَحْمَةً ۚ إِنَّكَ أَنتَ ٱلْوَهَّابُ</t>
        </is>
      </c>
      <c r="F103" s="32" t="inlineStr">
        <is>
          <t xml:space="preserve">"Seigneur ! Ne laisse pas dévier nos cœurs après que Tu nous aies guidés; et accorde-nous Ta miséricorde. C’est Toi, certes, le Grand Donateur !</t>
        </is>
      </c>
    </row>
    <row r="104" ht="66" customHeight="1">
      <c r="B104" s="44">
        <v>10</v>
      </c>
      <c r="C104" s="32" t="inlineStr">
        <is>
          <t xml:space="preserve">L'invocation</t>
        </is>
      </c>
      <c r="D104" s="78" t="inlineStr">
        <is>
          <t xml:space="preserve">Al-Baqarah 2:201</t>
        </is>
      </c>
      <c r="E104" s="76" t="inlineStr">
        <is>
          <t xml:space="preserve">وَمِنْهُم مَّن يَقُولُ رَبَّنَآ ءَاتِنَا فِى ٱلدُّنْيَا حَسَنَةً وَفِى ٱلْـَٔاخِرَةِ حَسَنَةً وَقِنَا عَذَابَ ٱلنَّارِ</t>
        </is>
      </c>
      <c r="F104" s="32" t="inlineStr">
        <is>
          <t xml:space="preserve">Et il est des gens qui disent : "Seigneur ! Accorde nous belle part ici-bas, et belle part aussi dans l’au-delà; et protège-nous du châtiment du Feu !"</t>
        </is>
      </c>
    </row>
    <row r="105" ht="66" customHeight="1">
      <c r="B105" s="44">
        <v>10</v>
      </c>
      <c r="C105" s="32" t="inlineStr">
        <is>
          <t xml:space="preserve">L'invocation</t>
        </is>
      </c>
      <c r="D105" s="78" t="inlineStr">
        <is>
          <t xml:space="preserve">Al-Furqan 25:74</t>
        </is>
      </c>
      <c r="E105" s="76" t="inlineStr">
        <is>
          <t xml:space="preserve">وَٱلَّذِينَ يَقُولُونَ رَبَّنَا هَبْ لَنَا مِنْ أَزْوَٰجِنَا وَذُرِّيَّـٰتِنَا قُرَّةَ أَعْيُنٍ وَٱجْعَلْنَا لِلْمُتَّقِينَ إِمَامًا</t>
        </is>
      </c>
      <c r="F105" s="32" t="inlineStr">
        <is>
          <t xml:space="preserve">et ceux qui disent : “Notre Seigneur! Donne-nous, en nos épouses et nos descendants, la joie des yeux, et fais de nous un guide pour les pieux !”</t>
        </is>
      </c>
    </row>
    <row r="106" ht="92" customHeight="1">
      <c r="B106" s="44">
        <v>11</v>
      </c>
      <c r="C106" s="32" t="inlineStr">
        <is>
          <t xml:space="preserve">La générosité</t>
        </is>
      </c>
      <c r="D106" s="78" t="inlineStr">
        <is>
          <t xml:space="preserve">Al-Baqarah 2:261</t>
        </is>
      </c>
      <c r="E106" s="76" t="inlineStr">
        <is>
          <t xml:space="preserve">مَّثَلُ ٱلَّذِينَ يُنفِقُونَ أَمْوَٰلَهُمْ فِى سَبِيلِ ٱللَّهِ كَمَثَلِ حَبَّةٍ أَنۢبَتَتْ سَبْعَ سَنَابِلَ فِى كُلِّ سُنۢبُلَةٍ مِّا۟ئَةُ حَبَّةٍ ۗ وَٱللَّهُ يُضَـٰعِفُ لِمَن يَشَآءُ ۗ وَٱللَّهُ وَٰسِعٌ عَلِيمٌ</t>
        </is>
      </c>
      <c r="F106" s="32" t="inlineStr">
        <is>
          <t xml:space="preserve">Ceux qui dépensent leurs biens dans le sentier d’Allah ressemblent à un grain d’où naissent sept épis, à cent grains l’épi. Et Allah multiplie la récompense à qui Il veut et la grâce d’Allah est immense, et Il est Omniscient.</t>
        </is>
      </c>
    </row>
    <row r="107" ht="92" customHeight="1">
      <c r="B107" s="44">
        <v>11</v>
      </c>
      <c r="C107" s="32" t="inlineStr">
        <is>
          <t xml:space="preserve">La générosité</t>
        </is>
      </c>
      <c r="D107" s="78" t="inlineStr">
        <is>
          <t xml:space="preserve">Al-Baqarah 2:262</t>
        </is>
      </c>
      <c r="E107" s="76" t="inlineStr">
        <is>
          <t xml:space="preserve">ٱلَّذِينَ يُنفِقُونَ أَمْوَٰلَهُمْ فِى سَبِيلِ ٱللَّهِ ثُمَّ لَا يُتْبِعُونَ مَآ أَنفَقُوا۟ مَنًّا وَلَآ أَذًى ۙ لَّهُمْ أَجْرُهُمْ عِندَ رَبِّهِمْ وَلَا خَوْفٌ عَلَيْهِمْ وَلَا هُمْ يَحْزَنُونَ</t>
        </is>
      </c>
      <c r="F107" s="32" t="inlineStr">
        <is>
          <t xml:space="preserve">Ceux qui dépensent leurs biens dans le sentier d’Allah sans faire suivre leurs largesses ni d’un rappel ni d’un tort, auront leur récompense auprès de leur Seigneur. Nulle crainte pour eux, et ils ne seront point affligés.</t>
        </is>
      </c>
    </row>
    <row r="108" ht="66" customHeight="1">
      <c r="B108" s="44">
        <v>11</v>
      </c>
      <c r="C108" s="32" t="inlineStr">
        <is>
          <t xml:space="preserve">La générosité</t>
        </is>
      </c>
      <c r="D108" s="78" t="inlineStr">
        <is>
          <t xml:space="preserve">Al-Baqarah 2:274</t>
        </is>
      </c>
      <c r="E108" s="76" t="inlineStr">
        <is>
          <t xml:space="preserve">ٱلَّذِينَ يُنفِقُونَ أَمْوَٰلَهُم بِٱلَّيْلِ وَٱلنَّهَارِ سِرًّا وَعَلَانِيَةً فَلَهُمْ أَجْرُهُمْ عِندَ رَبِّهِمْ وَلَا خَوْفٌ عَلَيْهِمْ وَلَا هُمْ يَحْزَنُونَ</t>
        </is>
      </c>
      <c r="F108" s="32" t="inlineStr">
        <is>
          <t xml:space="preserve">Ceux qui, de nuit et de jour, en secret et ouvertement, dépensent leurs biens (dans les bonnes œuvres), ont leur salaire auprès de leur Seigneur. Ils n’ont rien à craindre et ils ne seront point affligés.</t>
        </is>
      </c>
    </row>
    <row r="109" ht="66" customHeight="1">
      <c r="B109" s="44">
        <v>11</v>
      </c>
      <c r="C109" s="32" t="inlineStr">
        <is>
          <t xml:space="preserve">La générosité</t>
        </is>
      </c>
      <c r="D109" s="78" t="inlineStr">
        <is>
          <t xml:space="preserve">Al-Hadid 57:7</t>
        </is>
      </c>
      <c r="E109" s="76" t="inlineStr">
        <is>
          <t xml:space="preserve">ءَامِنُوا۟ بِٱللَّهِ وَرَسُولِهِۦ وَأَنفِقُوا۟ مِمَّا جَعَلَكُم مُّسْتَخْلَفِينَ فِيهِ ۖ فَٱلَّذِينَ ءَامَنُوا۟ مِنكُمْ وَأَنفَقُوا۟ لَهُمْ أَجْرٌ كَبِيرٌ</t>
        </is>
      </c>
      <c r="F109" s="32" t="inlineStr">
        <is>
          <t xml:space="preserve">Croyez en Allah et en Son Messager, et dépensez de ce dont Il vous a donné la lieutenance. Ceux d’entre vous croient et dépensent [pour la cause d’Allah] auront une grande récompense.</t>
        </is>
      </c>
    </row>
    <row r="110" ht="41" customHeight="1">
      <c r="B110" s="44">
        <v>11</v>
      </c>
      <c r="C110" s="32" t="inlineStr">
        <is>
          <t xml:space="preserve">La générosité</t>
        </is>
      </c>
      <c r="D110" s="78" t="inlineStr">
        <is>
          <t xml:space="preserve">Al-Insan 76:8</t>
        </is>
      </c>
      <c r="E110" s="76" t="inlineStr">
        <is>
          <t xml:space="preserve">وَيُطْعِمُونَ ٱلطَّعَامَ عَلَىٰ حُبِّهِۦ مِسْكِينًا وَيَتِيمًا وَأَسِيرًا</t>
        </is>
      </c>
      <c r="F110" s="32" t="inlineStr">
        <is>
          <t xml:space="preserve">et offrent la nourriture, malgré son amour , au pauvre, à l’orphelin et au prisonnier,</t>
        </is>
      </c>
    </row>
    <row r="111" ht="66" customHeight="1">
      <c r="B111" s="44">
        <v>11</v>
      </c>
      <c r="C111" s="32" t="inlineStr">
        <is>
          <t xml:space="preserve">La générosité</t>
        </is>
      </c>
      <c r="D111" s="78" t="inlineStr">
        <is>
          <t xml:space="preserve">Al-Insan 76:9</t>
        </is>
      </c>
      <c r="E111" s="76" t="inlineStr">
        <is>
          <t xml:space="preserve">إِنَّمَا نُطْعِمُكُمْ لِوَجْهِ ٱللَّهِ لَا نُرِيدُ مِنكُمْ جَزَآءً وَلَا شُكُورًا</t>
        </is>
      </c>
      <c r="F111" s="32" t="inlineStr">
        <is>
          <t xml:space="preserve">(disant) : "C’est pour le visage d’Allah que nous vous nourrissons : nous ne voulons de vous ni récompense ni gratitude.</t>
        </is>
      </c>
    </row>
    <row r="112" ht="66" customHeight="1">
      <c r="B112" s="44">
        <v>11</v>
      </c>
      <c r="C112" s="32" t="inlineStr">
        <is>
          <t xml:space="preserve">La générosité</t>
        </is>
      </c>
      <c r="D112" s="78" t="inlineStr">
        <is>
          <t xml:space="preserve">Ali 'Imran 3:92</t>
        </is>
      </c>
      <c r="E112" s="76" t="inlineStr">
        <is>
          <t xml:space="preserve">لَن تَنَالُوا۟ ٱلْبِرَّ حَتَّىٰ تُنفِقُوا۟ مِمَّا تُحِبُّونَ ۚ وَمَا تُنفِقُوا۟ مِن شَىْءٍ فَإِنَّ ٱللَّهَ بِهِۦ عَلِيمٌ</t>
        </is>
      </c>
      <c r="F112" s="32" t="inlineStr">
        <is>
          <t xml:space="preserve">Vous n’atteindrez la (vraie) piété que si vous faites largesses de ce que vous chérissez. Tout ce dont vous faites largesses, Allah le sait certainement bien.</t>
        </is>
      </c>
    </row>
    <row r="113" ht="118" customHeight="1">
      <c r="B113" s="44">
        <v>11</v>
      </c>
      <c r="C113" s="32" t="inlineStr">
        <is>
          <t xml:space="preserve">La générosité</t>
        </is>
      </c>
      <c r="D113" s="78" t="inlineStr">
        <is>
          <t xml:space="preserve">Al-Baqarah 2:267</t>
        </is>
      </c>
      <c r="E113" s="76" t="inlineStr">
        <is>
          <t xml:space="preserve">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F113" s="32" t="inlineStr">
        <is>
          <t xml:space="preserve">Ô les croyants! Dépensez des meilleures choses que vous avez gagnées et des récoltes que Nous avons fait sortir de la terre pour vous. Et ne vous tournez pas vers ce qui est vil pour en faire dépense. Ne donnez pas ce que vous-mêmes n’accepteriez qu’en fermant les yeux! Et sachez qu’Allah n’a besoin de rien et qu’Il est digne de louange.</t>
        </is>
      </c>
    </row>
    <row r="114" ht="118" customHeight="1">
      <c r="B114" s="44">
        <v>11</v>
      </c>
      <c r="C114" s="32" t="inlineStr">
        <is>
          <t xml:space="preserve">La générosité</t>
        </is>
      </c>
      <c r="D114" s="78" t="inlineStr">
        <is>
          <t xml:space="preserve">Al-Hashr 59:9</t>
        </is>
      </c>
      <c r="E114" s="76" t="inlineStr">
        <is>
          <t xml:space="preserve">وَٱلَّذِينَ تَبَوَّءُو ٱلدَّارَ وَٱلْإِيمَـٰنَ مِن قَبْلِهِمْ يُحِبُّونَ مَنْ هَاجَرَ إِلَيْهِمْ وَلَا يَجِدُونَ فِى صُدُورِهِمْ حَاجَةً مِّمَّآ أُوتُوا۟ وَيُؤْثِرُونَ عَلَىٰٓ أَنفُسِهِمْ وَلَوْ كَانَ بِهِمْ خَصَاصَةٌ ۚ وَمَن يُوقَ شُحَّ نَفْسِهِۦ فَأُو۟لَـٰٓئِكَ هُمُ ٱلْمُفْلِحُونَ</t>
        </is>
      </c>
      <c r="F114" s="32" t="inlineStr">
        <is>
          <t xml:space="preserve">Il [appartient également] à ceux qui, avant eux, se sont installés dans le pays et dans la foi, qui aiment ceux qui émigrent vers eux, et ne ressentent dans leurs cœurs aucune envie pour ce que [ces immigrés] ont reçu, et qui [les] préfèrent à eux-mêmes, même s’il y a pénurie chez eux. Quiconque se prémunit contre sa propre avarice, ceux-là sont ceux qui réussissent.</t>
        </is>
      </c>
    </row>
    <row r="115" ht="66" customHeight="1">
      <c r="B115" s="44">
        <v>11</v>
      </c>
      <c r="C115" s="32" t="inlineStr">
        <is>
          <t xml:space="preserve">La générosité</t>
        </is>
      </c>
      <c r="D115" s="78" t="inlineStr">
        <is>
          <t xml:space="preserve">At-Tawbah 9:103</t>
        </is>
      </c>
      <c r="E115" s="76" t="inlineStr">
        <is>
          <t xml:space="preserve">خُذْ مِنْ أَمْوَٰلِهِمْ صَدَقَةً تُطَهِّرُهُمْ وَتُزَكِّيهِم بِهَا وَصَلِّ عَلَيْهِمْ ۖ إِنَّ صَلَوٰتَكَ سَكَنٌ لَّهُمْ ۗ وَٱللَّهُ سَمِيعٌ عَلِيمٌ</t>
        </is>
      </c>
      <c r="F115" s="32" t="inlineStr">
        <is>
          <t xml:space="preserve">Prélève de leurs biens une aumône (As-Sadaqâh) par laquelle tu les purifies et les bénis, et prie pour eux. Ta prière est une quiétude pour eux. Et Allah est Audient et Omniscient.</t>
        </is>
      </c>
    </row>
    <row r="116" ht="66" customHeight="1">
      <c r="B116" s="44">
        <v>12</v>
      </c>
      <c r="C116" s="32" t="inlineStr">
        <is>
          <t xml:space="preserve">Le bon caractère et la famille</t>
        </is>
      </c>
      <c r="D116" s="78" t="inlineStr">
        <is>
          <t xml:space="preserve">Luqman 31:18</t>
        </is>
      </c>
      <c r="E116" s="76" t="inlineStr">
        <is>
          <t xml:space="preserve">وَلَا تُصَعِّرْ خَدَّكَ لِلنَّاسِ وَلَا تَمْشِ فِى ٱلْأَرْضِ مَرَحًا ۖ إِنَّ ٱللَّهَ لَا يُحِبُّ كُلَّ مُخْتَالٍ فَخُورٍ</t>
        </is>
      </c>
      <c r="F116" s="32" t="inlineStr">
        <is>
          <t xml:space="preserve">Et ne détourne pas ton visage des hommes, et ne foule pas la terre avec arrogance, car Allah n’aime pas le présomptueux plein de gloriole.</t>
        </is>
      </c>
    </row>
    <row r="117" ht="66" customHeight="1">
      <c r="B117" s="44">
        <v>12</v>
      </c>
      <c r="C117" s="32" t="inlineStr">
        <is>
          <t xml:space="preserve">Le bon caractère et la famille</t>
        </is>
      </c>
      <c r="D117" s="78" t="inlineStr">
        <is>
          <t xml:space="preserve">Luqman 31:19</t>
        </is>
      </c>
      <c r="E117" s="76" t="inlineStr">
        <is>
          <t xml:space="preserve">وَٱقْصِدْ فِى مَشْيِكَ وَٱغْضُضْ مِن صَوْتِكَ ۚ إِنَّ أَنكَرَ ٱلْأَصْوَٰتِ لَصَوْتُ ٱلْحَمِيرِ</t>
        </is>
      </c>
      <c r="F117" s="32" t="inlineStr">
        <is>
          <t xml:space="preserve">Sois modeste dans ta démarche, et baisse ta voix, car la plus détestée des voix, c’est bien la voix des ânes."</t>
        </is>
      </c>
    </row>
    <row r="118" ht="92" customHeight="1">
      <c r="B118" s="44">
        <v>12</v>
      </c>
      <c r="C118" s="32" t="inlineStr">
        <is>
          <t xml:space="preserve">Le bon caractère et la famille</t>
        </is>
      </c>
      <c r="D118" s="78" t="inlineStr">
        <is>
          <t xml:space="preserve">Al-Isra 17:23</t>
        </is>
      </c>
      <c r="E118" s="76" t="inlineStr">
        <is>
          <t xml:space="preserve">۞ وَقَضَىٰ رَبُّكَ أَلَّا تَعْبُدُوٓا۟ إِلَّآ إِيَّاهُ وَبِٱلْوَٰلِدَيْنِ إِحْسَـٰنًا ۚ إِمَّا يَبْلُغَنَّ عِندَكَ ٱلْكِبَرَ أَحَدُهُمَآ أَوْ كِلَاهُمَا فَلَا تَقُل لَّهُمَآ أُفٍّ وَلَا تَنْهَرْهُمَا وَقُل لَّهُمَا قَوْلًا كَرِيمًا</t>
        </is>
      </c>
      <c r="F118" s="32" t="inlineStr">
        <is>
          <t xml:space="preserve">Et ton Seigneur a décrété : “N’adorez que Lui ! Et (marquez) de la bonté envers les père et mère: si l’un d’eux ou tous deux doivent atteindre la vieillesse auprès de toi, alors ne leur dis point : “Fi ! ” Et ne les brusque pas, mais adresse-leur des paroles affectueuses.</t>
        </is>
      </c>
    </row>
    <row r="119" ht="66" customHeight="1">
      <c r="B119" s="44">
        <v>12</v>
      </c>
      <c r="C119" s="32" t="inlineStr">
        <is>
          <t xml:space="preserve">Le bon caractère et la famille</t>
        </is>
      </c>
      <c r="D119" s="78" t="inlineStr">
        <is>
          <t xml:space="preserve">Al-Isra 17:24</t>
        </is>
      </c>
      <c r="E119" s="76" t="inlineStr">
        <is>
          <t xml:space="preserve">وَٱخْفِضْ لَهُمَا جَنَاحَ ٱلذُّلِّ مِنَ ٱلرَّحْمَةِ وَقُل رَّبِّ ٱرْحَمْهُمَا كَمَا رَبَّيَانِى صَغِيرًا</t>
        </is>
      </c>
      <c r="F119" s="32" t="inlineStr">
        <is>
          <t xml:space="preserve">Et par miséricorde, abaisse pour eux l’aile de l’humilité et dis : “Seigneur ! Fais-leur, à tous deux, miséricorde comme ils m’ont élevé tout petit !”</t>
        </is>
      </c>
    </row>
    <row r="120" ht="66" customHeight="1">
      <c r="B120" s="44">
        <v>12</v>
      </c>
      <c r="C120" s="32" t="inlineStr">
        <is>
          <t xml:space="preserve">Le bon caractère et la famille</t>
        </is>
      </c>
      <c r="D120" s="78" t="inlineStr">
        <is>
          <t xml:space="preserve">Fussilat 41:34</t>
        </is>
      </c>
      <c r="E120" s="76" t="inlineStr">
        <is>
          <t xml:space="preserve">وَلَا تَسْتَوِى ٱلْحَسَنَةُ وَلَا ٱلسَّيِّئَةُ ۚ ٱدْفَعْ بِٱلَّتِى هِىَ أَحْسَنُ فَإِذَا ٱلَّذِى بَيْنَكَ وَبَيْنَهُۥ عَدَٰوَةٌ كَأَنَّهُۥ وَلِىٌّ حَمِيمٌ</t>
        </is>
      </c>
      <c r="F120" s="32" t="inlineStr">
        <is>
          <t xml:space="preserve">La bonne action et la mauvaise ne sont pas pareilles. Repousse (le mal) par ce qui est meilleur; et voilà que celui avec qui tu avais une animosité devient tel un ami chaleureux.</t>
        </is>
      </c>
    </row>
    <row r="121" ht="66" customHeight="1">
      <c r="B121" s="44">
        <v>12</v>
      </c>
      <c r="C121" s="32" t="inlineStr">
        <is>
          <t xml:space="preserve">Le bon caractère et la famille</t>
        </is>
      </c>
      <c r="D121" s="78" t="inlineStr">
        <is>
          <t xml:space="preserve">Ali 'Imran 3:134</t>
        </is>
      </c>
      <c r="E121" s="76" t="inlineStr">
        <is>
          <t xml:space="preserve">ٱلَّذِينَ يُنفِقُونَ فِى ٱلسَّرَّآءِ وَٱلضَّرَّآءِ وَٱلْكَـٰظِمِينَ ٱلْغَيْظَ وَٱلْعَافِينَ عَنِ ٱلنَّاسِ ۗ وَٱللَّهُ يُحِبُّ ٱلْمُحْسِنِينَ</t>
        </is>
      </c>
      <c r="F121" s="32" t="inlineStr">
        <is>
          <t xml:space="preserve">qui dépensent dans l’aisance et dans l’adversité, qui dominent leur rage et pardonnent à autrui - car Allah aime les bienfaisants ;</t>
        </is>
      </c>
    </row>
    <row r="122" ht="66" customHeight="1">
      <c r="B122" s="44">
        <v>12</v>
      </c>
      <c r="C122" s="32" t="inlineStr">
        <is>
          <t xml:space="preserve">Le bon caractère et la famille</t>
        </is>
      </c>
      <c r="D122" s="78" t="inlineStr">
        <is>
          <t xml:space="preserve">Al-Furqan 25:63</t>
        </is>
      </c>
      <c r="E122" s="76" t="inlineStr">
        <is>
          <t xml:space="preserve">وَعِبَادُ ٱلرَّحْمَـٰنِ ٱلَّذِينَ يَمْشُونَ عَلَى ٱلْأَرْضِ هَوْنًا وَإِذَا خَاطَبَهُمُ ٱلْجَـٰهِلُونَ قَالُوا۟ سَلَـٰمًا</t>
        </is>
      </c>
      <c r="F122" s="32" t="inlineStr">
        <is>
          <t xml:space="preserve">Les serviteurs du Tout Miséricordieux sont ceux qui marchent humblement sur Terre, et qui, lorsque les ignorants s’adressent à eux, disent : "Paix (Salâm) " ;</t>
        </is>
      </c>
    </row>
    <row r="123" ht="66" customHeight="1">
      <c r="B123" s="44">
        <v>12</v>
      </c>
      <c r="C123" s="32" t="inlineStr">
        <is>
          <t xml:space="preserve">Le bon caractère et la famille</t>
        </is>
      </c>
      <c r="D123" s="78" t="inlineStr">
        <is>
          <t xml:space="preserve">Al-Hujurat 49:10</t>
        </is>
      </c>
      <c r="E123" s="76" t="inlineStr">
        <is>
          <t xml:space="preserve">إِنَّمَا ٱلْمُؤْمِنُونَ إِخْوَةٌ فَأَصْلِحُوا۟ بَيْنَ أَخَوَيْكُمْ ۚ وَٱتَّقُوا۟ ٱللَّهَ لَعَلَّكُمْ تُرْحَمُونَ</t>
        </is>
      </c>
      <c r="F123" s="32" t="inlineStr">
        <is>
          <t xml:space="preserve">Les croyants ne sont que des frères. Etablissez la concorde entre vos frères, et craignez Allah, afin qu’on vous fasse miséricorde.</t>
        </is>
      </c>
    </row>
    <row r="124" ht="92" customHeight="1">
      <c r="B124" s="44">
        <v>12</v>
      </c>
      <c r="C124" s="32" t="inlineStr">
        <is>
          <t xml:space="preserve">Le bon caractère et la famille</t>
        </is>
      </c>
      <c r="D124" s="78" t="inlineStr">
        <is>
          <t xml:space="preserve">Ar-Rum 30:21</t>
        </is>
      </c>
      <c r="E124" s="76" t="inlineStr">
        <is>
          <t xml:space="preserve">وَمِنْ ءَايَـٰتِهِۦٓ أَنْ خَلَقَ لَكُم مِّنْ أَنفُسِكُمْ أَزْوَٰجًا لِّتَسْكُنُوٓا۟ إِلَيْهَا وَجَعَلَ بَيْنَكُم مَّوَدَّةً وَرَحْمَةً ۚ إِنَّ فِى ذَٰلِكَ لَـَٔايَـٰتٍ لِّقَوْمٍ يَتَفَكَّرُونَ</t>
        </is>
      </c>
      <c r="F124" s="32" t="inlineStr">
        <is>
          <t xml:space="preserve">Et parmi Ses signes Il a créé de vous, pour vous, des épouses pour que vous viviez en tranquillité avec elles et Il a mis entre vous de l’affection et de la bonté. Il y a en cela des preuves pour des gens qui réfléchissent.</t>
        </is>
      </c>
    </row>
    <row r="125" ht="118" customHeight="1">
      <c r="B125" s="44">
        <v>12</v>
      </c>
      <c r="C125" s="32" t="inlineStr">
        <is>
          <t xml:space="preserve">Le bon caractère et la famille</t>
        </is>
      </c>
      <c r="D125" s="78" t="inlineStr">
        <is>
          <t xml:space="preserve">An-Nisa 4:19</t>
        </is>
      </c>
      <c r="E125" s="76" t="inlineStr">
        <is>
          <t xml:space="preserve">يَـٰٓأَيُّهَا ٱلَّذِينَ ءَامَنُوا۟ لَا يَحِلُّ لَكُمْ أَن تَرِثُوا۟ ٱلنِّسَآءَ كَرْهًا ۖ وَلَا تَعْضُلُوهُنَّ لِتَذْهَبُوا۟ بِبَعْضِ مَآ ءَاتَيْتُمُوهُنَّ إِلَّآ أَن يَأْتِينَ بِفَـٰحِشَةٍ مُّبَيِّنَةٍ ۚ وَعَاشِرُوهُنَّ بِٱلْمَعْرُوفِ ۚ فَإِن كَرِهْتُمُوهُنَّ فَعَسَىٰٓ أَن تَكْرَهُوا۟ شَيْـًٔا وَيَجْعَلَ ٱللَّهُ فِيهِ خَيْرًا كَثِيرًا</t>
        </is>
      </c>
      <c r="F125" s="32" t="inlineStr">
        <is>
          <t xml:space="preserve">Ô les croyants! Il ne vous est pas licite d’hériter des femmes contre leur gré. Ne les empêchez pas de se remarier dans le but de leur ravir une partie de ce que vous aviez donné, à moins qu’elles ne viennent à commettre un péché prouvé. Et comportez-vous convenablement envers elles. Si vous avez de l’aversion envers elles durant la vie commune, il se peut que vous ayez de l’aversion pour une chose où Allah a déposé un grand bien.</t>
        </is>
      </c>
    </row>
    <row r="126" ht="40" customHeight="1">
      <c r="B126" s="44">
        <v>13</v>
      </c>
      <c r="C126" s="32" t="inlineStr">
        <is>
          <t xml:space="preserve">Le corps, un bienfait</t>
        </is>
      </c>
      <c r="D126" s="78" t="inlineStr">
        <is>
          <t xml:space="preserve">At-Tin 95:4</t>
        </is>
      </c>
      <c r="E126" s="76" t="inlineStr">
        <is>
          <t xml:space="preserve">لَقَدْ خَلَقْنَا ٱلْإِنسَـٰنَ فِىٓ أَحْسَنِ تَقْوِيمٍ</t>
        </is>
      </c>
      <c r="F126" s="32" t="inlineStr">
        <is>
          <t xml:space="preserve">Nous avons certes créé l’homme dans la forme la plus parfaite.</t>
        </is>
      </c>
    </row>
    <row r="127" ht="41" customHeight="1">
      <c r="B127" s="44">
        <v>13</v>
      </c>
      <c r="C127" s="32" t="inlineStr">
        <is>
          <t xml:space="preserve">Le corps, un bienfait</t>
        </is>
      </c>
      <c r="D127" s="78" t="inlineStr">
        <is>
          <t xml:space="preserve">As-Sajdah 32:7</t>
        </is>
      </c>
      <c r="E127" s="76" t="inlineStr">
        <is>
          <t xml:space="preserve">ٱلَّذِىٓ أَحْسَنَ كُلَّ شَىْءٍ خَلَقَهُۥ ۖ وَبَدَأَ خَلْقَ ٱلْإِنسَـٰنِ مِن طِينٍ</t>
        </is>
      </c>
      <c r="F127" s="32" t="inlineStr">
        <is>
          <t xml:space="preserve">qui a bien fait tout ce qu’Il a créé. Et Il a commencé la création de l’homme à partir de l’argile,</t>
        </is>
      </c>
    </row>
    <row r="128" ht="40" customHeight="1">
      <c r="B128" s="44">
        <v>13</v>
      </c>
      <c r="C128" s="32" t="inlineStr">
        <is>
          <t xml:space="preserve">Le corps, un bienfait</t>
        </is>
      </c>
      <c r="D128" s="78" t="inlineStr">
        <is>
          <t xml:space="preserve">As-Sajdah 32:8</t>
        </is>
      </c>
      <c r="E128" s="76" t="inlineStr">
        <is>
          <t xml:space="preserve">ثُمَّ جَعَلَ نَسْلَهُۥ مِن سُلَـٰلَةٍ مِّن مَّآءٍ مَّهِينٍ</t>
        </is>
      </c>
      <c r="F128" s="32" t="inlineStr">
        <is>
          <t xml:space="preserve">puis Il tira sa descendance d’une goutte d’eau vile [le sperme];</t>
        </is>
      </c>
    </row>
    <row r="129" ht="66" customHeight="1">
      <c r="B129" s="44">
        <v>13</v>
      </c>
      <c r="C129" s="32" t="inlineStr">
        <is>
          <t xml:space="preserve">Le corps, un bienfait</t>
        </is>
      </c>
      <c r="D129" s="78" t="inlineStr">
        <is>
          <t xml:space="preserve">As-Sajdah 32:9</t>
        </is>
      </c>
      <c r="E129" s="76" t="inlineStr">
        <is>
          <t xml:space="preserve">ثُمَّ سَوَّىٰهُ وَنَفَخَ فِيهِ مِن رُّوحِهِۦ ۖ وَجَعَلَ لَكُمُ ٱلسَّمْعَ وَٱلْأَبْصَـٰرَ وَٱلْأَفْـِٔدَةَ ۚ قَلِيلًا مَّا تَشْكُرُونَ</t>
        </is>
      </c>
      <c r="F129" s="32" t="inlineStr">
        <is>
          <t xml:space="preserve">puis Il lui donna sa forme parfaite et lui insuffla de Son Esprit . Et Il vous a assigné l’ouïe, les yeux et le cœur. Que vous êtes peu reconnaissants !</t>
        </is>
      </c>
    </row>
    <row r="130" ht="40" customHeight="1">
      <c r="B130" s="44">
        <v>13</v>
      </c>
      <c r="C130" s="32" t="inlineStr">
        <is>
          <t xml:space="preserve">Le corps, un bienfait</t>
        </is>
      </c>
      <c r="D130" s="78" t="inlineStr">
        <is>
          <t xml:space="preserve">Al-Mu'minun 23:12</t>
        </is>
      </c>
      <c r="E130" s="76" t="inlineStr">
        <is>
          <t xml:space="preserve">وَلَقَدْ خَلَقْنَا ٱلْإِنسَـٰنَ مِن سُلَـٰلَةٍ مِّن طِينٍ</t>
        </is>
      </c>
      <c r="F130" s="32" t="inlineStr">
        <is>
          <t xml:space="preserve">Nous avons certes créé l’homme d’un extrait d’argile,</t>
        </is>
      </c>
    </row>
    <row r="131" ht="40" customHeight="1">
      <c r="B131" s="44">
        <v>13</v>
      </c>
      <c r="C131" s="32" t="inlineStr">
        <is>
          <t xml:space="preserve">Le corps, un bienfait</t>
        </is>
      </c>
      <c r="D131" s="78" t="inlineStr">
        <is>
          <t xml:space="preserve">Al-Mu'minun 23:13</t>
        </is>
      </c>
      <c r="E131" s="76" t="inlineStr">
        <is>
          <t xml:space="preserve">ثُمَّ جَعَلْنَـٰهُ نُطْفَةً فِى قَرَارٍ مَّكِينٍ</t>
        </is>
      </c>
      <c r="F131" s="32" t="inlineStr">
        <is>
          <t xml:space="preserve">puis Nous en fîmes une goutte de sperme dans un reposoir solide.</t>
        </is>
      </c>
    </row>
    <row r="132" ht="92" customHeight="1">
      <c r="B132" s="44">
        <v>13</v>
      </c>
      <c r="C132" s="32" t="inlineStr">
        <is>
          <t xml:space="preserve">Le corps, un bienfait</t>
        </is>
      </c>
      <c r="D132" s="78" t="inlineStr">
        <is>
          <t xml:space="preserve">Al-Mu'minun 23:14</t>
        </is>
      </c>
      <c r="E132" s="76" t="inlineStr">
        <is>
          <t xml:space="preserve">ثُمَّ خَلَقْنَا ٱلنُّطْفَةَ عَلَقَةً فَخَلَقْنَا ٱلْعَلَقَةَ مُضْغَةً فَخَلَقْنَا ٱلْمُضْغَةَ عِظَـٰمًا فَكَسَوْنَا ٱلْعِظَـٰمَ لَحْمًا ثُمَّ أَنشَأْنَـٰهُ خَلْقًا ءَاخَرَ ۚ فَتَبَارَكَ ٱللَّهُ أَحْسَنُ ٱلْخَـٰلِقِينَ</t>
        </is>
      </c>
      <c r="F132" s="32" t="inlineStr">
        <is>
          <t xml:space="preserve">Ensuite, Nous avons fait du sperme une adhérence; et de l’adhérence Nous avons créé un embryon ; puis, de cet embryon Nous avons créé des os et Nous avons revêtu les os de chair. Ensuite, Nous l’avons transformé en une tout autre création. Béni soit donc Allah le Meilleur des créateurs !</t>
        </is>
      </c>
    </row>
    <row r="133" ht="40" customHeight="1">
      <c r="B133" s="44">
        <v>13</v>
      </c>
      <c r="C133" s="32" t="inlineStr">
        <is>
          <t xml:space="preserve">Le corps, un bienfait</t>
        </is>
      </c>
      <c r="D133" s="78" t="inlineStr">
        <is>
          <t xml:space="preserve">Al-Infitar 82:7</t>
        </is>
      </c>
      <c r="E133" s="76" t="inlineStr">
        <is>
          <t xml:space="preserve">ٱلَّذِى خَلَقَكَ فَسَوَّىٰكَ فَعَدَلَكَ</t>
        </is>
      </c>
      <c r="F133" s="32" t="inlineStr">
        <is>
          <t xml:space="preserve">qui t’a créé, puis modelé et constitué harmonieusement ?</t>
        </is>
      </c>
    </row>
    <row r="134" ht="40" customHeight="1">
      <c r="B134" s="44">
        <v>13</v>
      </c>
      <c r="C134" s="32" t="inlineStr">
        <is>
          <t xml:space="preserve">Le corps, un bienfait</t>
        </is>
      </c>
      <c r="D134" s="78" t="inlineStr">
        <is>
          <t xml:space="preserve">Al-Infitar 82:8</t>
        </is>
      </c>
      <c r="E134" s="76" t="inlineStr">
        <is>
          <t xml:space="preserve">فِىٓ أَىِّ صُورَةٍ مَّا شَآءَ رَكَّبَكَ</t>
        </is>
      </c>
      <c r="F134" s="32" t="inlineStr">
        <is>
          <t xml:space="preserve">Il t’a façonné dans la forme qu’Il a voulue.</t>
        </is>
      </c>
    </row>
    <row r="135" ht="66" customHeight="1">
      <c r="B135" s="44">
        <v>13</v>
      </c>
      <c r="C135" s="32" t="inlineStr">
        <is>
          <t xml:space="preserve">Le corps, un bienfait</t>
        </is>
      </c>
      <c r="D135" s="78" t="inlineStr">
        <is>
          <t xml:space="preserve">At-Taghabun 64:3</t>
        </is>
      </c>
      <c r="E135" s="76" t="inlineStr">
        <is>
          <t xml:space="preserve">خَلَقَ ٱلسَّمَـٰوَٰتِ وَٱلْأَرْضَ بِٱلْحَقِّ وَصَوَّرَكُمْ فَأَحْسَنَ صُوَرَكُمْ ۖ وَإِلَيْهِ ٱلْمَصِيرُ</t>
        </is>
      </c>
      <c r="F135" s="32" t="inlineStr">
        <is>
          <t xml:space="preserve">Il a créé les cieux et la Terre en toute vérité et vous a donné votre forme et quelle belle forme Il vous a donnée. Et vers Lui est le devenir.</t>
        </is>
      </c>
    </row>
    <row r="136" ht="66" customHeight="1">
      <c r="B136" s="44">
        <v>14</v>
      </c>
      <c r="C136" s="32" t="inlineStr">
        <is>
          <t xml:space="preserve">Manger et boire avec mesure</t>
        </is>
      </c>
      <c r="D136" s="78" t="inlineStr">
        <is>
          <t xml:space="preserve">Al-A'raf 7:31</t>
        </is>
      </c>
      <c r="E136" s="76" t="inlineStr">
        <is>
          <t xml:space="preserve">۞ يَـٰبَنِىٓ ءَادَمَ خُذُوا۟ زِينَتَكُمْ عِندَ كُلِّ مَسْجِدٍ وَكُلُوا۟ وَٱشْرَبُوا۟ وَلَا تُسْرِفُوٓا۟ ۚ إِنَّهُۥ لَا يُحِبُّ ٱلْمُسْرِفِينَ</t>
        </is>
      </c>
      <c r="F136" s="32" t="inlineStr">
        <is>
          <t xml:space="preserve">Ô enfants d’Adam ! Portez votre parure (vos habits) dans chaque lieu de prière ! Et mangez et buvez; et ne commettez pas d’excès, car Il [Allah] n’aime pas ceux qui commettent des excès .</t>
        </is>
      </c>
    </row>
    <row r="137" ht="66" customHeight="1">
      <c r="B137" s="44">
        <v>14</v>
      </c>
      <c r="C137" s="32" t="inlineStr">
        <is>
          <t xml:space="preserve">Manger et boire avec mesure</t>
        </is>
      </c>
      <c r="D137" s="78" t="inlineStr">
        <is>
          <t xml:space="preserve">Al-Baqarah 2:168</t>
        </is>
      </c>
      <c r="E137" s="76" t="inlineStr">
        <is>
          <t xml:space="preserve">يَـٰٓأَيُّهَا ٱلنَّاسُ كُلُوا۟ مِمَّا فِى ٱلْأَرْضِ حَلَـٰلًا طَيِّبًا وَلَا تَتَّبِعُوا۟ خُطُوَٰتِ ٱلشَّيْطَـٰنِ ۚ إِنَّهُۥ لَكُمْ عَدُوٌّ مُّبِينٌ</t>
        </is>
      </c>
      <c r="F137" s="32" t="inlineStr">
        <is>
          <t xml:space="preserve">Ô gens! De ce qui existe sur la terre, mangez le licite et le pur; ne suivez point les pas du Diable car il est vraiment pour vous, un ennemi déclaré.</t>
        </is>
      </c>
    </row>
    <row r="138" ht="66" customHeight="1">
      <c r="B138" s="44">
        <v>14</v>
      </c>
      <c r="C138" s="32" t="inlineStr">
        <is>
          <t xml:space="preserve">Manger et boire avec mesure</t>
        </is>
      </c>
      <c r="D138" s="78" t="inlineStr">
        <is>
          <t xml:space="preserve">Al-Ma'idah 5:88</t>
        </is>
      </c>
      <c r="E138" s="76" t="inlineStr">
        <is>
          <t xml:space="preserve">وَكُلُوا۟ مِمَّا رَزَقَكُمُ ٱللَّهُ حَلَـٰلًا طَيِّبًا ۚ وَٱتَّقُوا۟ ٱللَّهَ ٱلَّذِىٓ أَنتُم بِهِۦ مُؤْمِنُونَ</t>
        </is>
      </c>
      <c r="F138" s="32" t="inlineStr">
        <is>
          <t xml:space="preserve">Et mangez de ce qu’Allah vous a attribué de licite et de bon. Et craignez Allah, en qui vous avez foi !</t>
        </is>
      </c>
    </row>
    <row r="139" ht="66" customHeight="1">
      <c r="B139" s="44">
        <v>14</v>
      </c>
      <c r="C139" s="32" t="inlineStr">
        <is>
          <t xml:space="preserve">Manger et boire avec mesure</t>
        </is>
      </c>
      <c r="D139" s="78" t="inlineStr">
        <is>
          <t xml:space="preserve">Al-Mu'minun 23:51</t>
        </is>
      </c>
      <c r="E139" s="76" t="inlineStr">
        <is>
          <t xml:space="preserve">يَـٰٓأَيُّهَا ٱلرُّسُلُ كُلُوا۟ مِنَ ٱلطَّيِّبَـٰتِ وَٱعْمَلُوا۟ صَـٰلِحًا ۖ إِنِّى بِمَا تَعْمَلُونَ عَلِيمٌ</t>
        </is>
      </c>
      <c r="F139" s="32" t="inlineStr">
        <is>
          <t xml:space="preserve">"Ô Messagers ! Mangez de ce qui est permis et agréable et faites du bien. Car Je sais parfaitement ce que vous faites.</t>
        </is>
      </c>
    </row>
    <row r="140" ht="40" customHeight="1">
      <c r="B140" s="44">
        <v>14</v>
      </c>
      <c r="C140" s="32" t="inlineStr">
        <is>
          <t xml:space="preserve">Manger et boire avec mesure</t>
        </is>
      </c>
      <c r="D140" s="78" t="inlineStr">
        <is>
          <t xml:space="preserve">'Abasa 80:24</t>
        </is>
      </c>
      <c r="E140" s="76" t="inlineStr">
        <is>
          <t xml:space="preserve">فَلْيَنظُرِ ٱلْإِنسَـٰنُ إِلَىٰ طَعَامِهِۦٓ</t>
        </is>
      </c>
      <c r="F140" s="32" t="inlineStr">
        <is>
          <t xml:space="preserve">Que l’homme considère donc sa nourriture.</t>
        </is>
      </c>
    </row>
    <row r="141" ht="40" customHeight="1">
      <c r="B141" s="44">
        <v>14</v>
      </c>
      <c r="C141" s="32" t="inlineStr">
        <is>
          <t xml:space="preserve">Manger et boire avec mesure</t>
        </is>
      </c>
      <c r="D141" s="78" t="inlineStr">
        <is>
          <t xml:space="preserve">'Abasa 80:25</t>
        </is>
      </c>
      <c r="E141" s="76" t="inlineStr">
        <is>
          <t xml:space="preserve">أَنَّا صَبَبْنَا ٱلْمَآءَ صَبًّا</t>
        </is>
      </c>
      <c r="F141" s="32" t="inlineStr">
        <is>
          <t xml:space="preserve">C’est Nous qui versons l’eau abondante.</t>
        </is>
      </c>
    </row>
    <row r="142" ht="40" customHeight="1">
      <c r="B142" s="44">
        <v>14</v>
      </c>
      <c r="C142" s="32" t="inlineStr">
        <is>
          <t xml:space="preserve">Manger et boire avec mesure</t>
        </is>
      </c>
      <c r="D142" s="78" t="inlineStr">
        <is>
          <t xml:space="preserve">'Abasa 80:26</t>
        </is>
      </c>
      <c r="E142" s="76" t="inlineStr">
        <is>
          <t xml:space="preserve">ثُمَّ شَقَقْنَا ٱلْأَرْضَ شَقًّا</t>
        </is>
      </c>
      <c r="F142" s="32" t="inlineStr">
        <is>
          <t xml:space="preserve">Puis Nous fendons la terre par fissure.</t>
        </is>
      </c>
    </row>
    <row r="143" ht="40" customHeight="1">
      <c r="B143" s="44">
        <v>14</v>
      </c>
      <c r="C143" s="32" t="inlineStr">
        <is>
          <t xml:space="preserve">Manger et boire avec mesure</t>
        </is>
      </c>
      <c r="D143" s="78" t="inlineStr">
        <is>
          <t xml:space="preserve">'Abasa 80:27</t>
        </is>
      </c>
      <c r="E143" s="76" t="inlineStr">
        <is>
          <t xml:space="preserve">فَأَنۢبَتْنَا فِيهَا حَبًّا</t>
        </is>
      </c>
      <c r="F143" s="32" t="inlineStr">
        <is>
          <t xml:space="preserve">Et y faisons pousser grains,</t>
        </is>
      </c>
    </row>
    <row r="144" ht="40" customHeight="1">
      <c r="B144" s="44">
        <v>14</v>
      </c>
      <c r="C144" s="32" t="inlineStr">
        <is>
          <t xml:space="preserve">Manger et boire avec mesure</t>
        </is>
      </c>
      <c r="D144" s="78" t="inlineStr">
        <is>
          <t xml:space="preserve">'Abasa 80:28</t>
        </is>
      </c>
      <c r="E144" s="76" t="inlineStr">
        <is>
          <t xml:space="preserve">وَعِنَبًا وَقَضْبًا</t>
        </is>
      </c>
      <c r="F144" s="32" t="inlineStr">
        <is>
          <t xml:space="preserve">vignobles et légumes,</t>
        </is>
      </c>
    </row>
    <row r="145" ht="40" customHeight="1">
      <c r="B145" s="44">
        <v>14</v>
      </c>
      <c r="C145" s="32" t="inlineStr">
        <is>
          <t xml:space="preserve">Manger et boire avec mesure</t>
        </is>
      </c>
      <c r="D145" s="78" t="inlineStr">
        <is>
          <t xml:space="preserve">'Abasa 80:29</t>
        </is>
      </c>
      <c r="E145" s="76" t="inlineStr">
        <is>
          <t xml:space="preserve">وَزَيْتُونًا وَنَخْلًا</t>
        </is>
      </c>
      <c r="F145" s="32" t="inlineStr">
        <is>
          <t xml:space="preserve">oliviers et palmiers,</t>
        </is>
      </c>
    </row>
    <row r="146" ht="92" customHeight="1">
      <c r="B146" s="44">
        <v>15</v>
      </c>
      <c r="C146" s="32" t="inlineStr">
        <is>
          <t xml:space="preserve">L'eau, source de vie</t>
        </is>
      </c>
      <c r="D146" s="78" t="inlineStr">
        <is>
          <t xml:space="preserve">Al-Anbya 21:30</t>
        </is>
      </c>
      <c r="E146" s="76" t="inlineStr">
        <is>
          <t xml:space="preserve">أَوَلَمْ يَرَ ٱلَّذِينَ كَفَرُوٓا۟ أَنَّ ٱلسَّمَـٰوَٰتِ وَٱلْأَرْضَ كَانَتَا رَتْقًا فَفَتَقْنَـٰهُمَا ۖ وَجَعَلْنَا مِنَ ٱلْمَآءِ كُلَّ شَىْءٍ حَىٍّ ۖ أَفَلَا يُؤْمِنُونَ</t>
        </is>
      </c>
      <c r="F146" s="32" t="inlineStr">
        <is>
          <t xml:space="preserve">Ceux qui ont mécru, n’ont-ils pas vu que les cieux et la Terre formaient une masse compacte ? Ensuite Nous les avons séparés et fait de l’eau toute chose vivante. Ne croiront-ils donc pas ?</t>
        </is>
      </c>
    </row>
    <row r="147" ht="66" customHeight="1">
      <c r="B147" s="44">
        <v>15</v>
      </c>
      <c r="C147" s="32" t="inlineStr">
        <is>
          <t xml:space="preserve">L'eau, source de vie</t>
        </is>
      </c>
      <c r="D147" s="78" t="inlineStr">
        <is>
          <t xml:space="preserve">Al-Furqan 25:48</t>
        </is>
      </c>
      <c r="E147" s="76" t="inlineStr">
        <is>
          <t xml:space="preserve">وَهُوَ ٱلَّذِىٓ أَرْسَلَ ٱلرِّيَـٰحَ بُشْرًۢا بَيْنَ يَدَىْ رَحْمَتِهِۦ ۚ وَأَنزَلْنَا مِنَ ٱلسَّمَآءِ مَآءً طَهُورًا</t>
        </is>
      </c>
      <c r="F147" s="32" t="inlineStr">
        <is>
          <t xml:space="preserve">Et c’est Lui qui envoya les vents comme une annonce précédant Sa miséricorde . Et Nous fîmes descendre du ciel une eau pure et purifiante,</t>
        </is>
      </c>
    </row>
    <row r="148" ht="66" customHeight="1">
      <c r="B148" s="44">
        <v>15</v>
      </c>
      <c r="C148" s="32" t="inlineStr">
        <is>
          <t xml:space="preserve">L'eau, source de vie</t>
        </is>
      </c>
      <c r="D148" s="78" t="inlineStr">
        <is>
          <t xml:space="preserve">Al-Furqan 25:49</t>
        </is>
      </c>
      <c r="E148" s="76" t="inlineStr">
        <is>
          <t xml:space="preserve">لِّنُحْـِۧىَ بِهِۦ بَلْدَةً مَّيْتًا وَنُسْقِيَهُۥ مِمَّا خَلَقْنَآ أَنْعَـٰمًا وَأَنَاسِىَّ كَثِيرًا</t>
        </is>
      </c>
      <c r="F148" s="32" t="inlineStr">
        <is>
          <t xml:space="preserve">pour faire revivre par elle une contrée morte, et donner à boire aux multiples bestiaux et hommes que Nous avons créés.</t>
        </is>
      </c>
    </row>
    <row r="149" ht="66" customHeight="1">
      <c r="B149" s="44">
        <v>15</v>
      </c>
      <c r="C149" s="32" t="inlineStr">
        <is>
          <t xml:space="preserve">L'eau, source de vie</t>
        </is>
      </c>
      <c r="D149" s="78" t="inlineStr">
        <is>
          <t xml:space="preserve">An-Nahl 16:10</t>
        </is>
      </c>
      <c r="E149" s="76" t="inlineStr">
        <is>
          <t xml:space="preserve">هُوَ ٱلَّذِىٓ أَنزَلَ مِنَ ٱلسَّمَآءِ مَآءً ۖ لَّكُم مِّنْهُ شَرَابٌ وَمِنْهُ شَجَرٌ فِيهِ تُسِيمُونَ</t>
        </is>
      </c>
      <c r="F149" s="32" t="inlineStr">
        <is>
          <t xml:space="preserve">C’est Lui qui, du ciel, a fait descendre de l’eau qui vous sert de boisson et grâce à laquelle poussent des plantes dont vous nourrissez vos troupeaux.</t>
        </is>
      </c>
    </row>
    <row r="150" ht="66" customHeight="1">
      <c r="B150" s="44">
        <v>15</v>
      </c>
      <c r="C150" s="32" t="inlineStr">
        <is>
          <t xml:space="preserve">L'eau, source de vie</t>
        </is>
      </c>
      <c r="D150" s="78" t="inlineStr">
        <is>
          <t xml:space="preserve">An-Nahl 16:11</t>
        </is>
      </c>
      <c r="E150" s="76" t="inlineStr">
        <is>
          <t xml:space="preserve">يُنۢبِتُ لَكُم بِهِ ٱلزَّرْعَ وَٱلزَّيْتُونَ وَٱلنَّخِيلَ وَٱلْأَعْنَـٰبَ وَمِن كُلِّ ٱلثَّمَرَٰتِ ۗ إِنَّ فِى ذَٰلِكَ لَـَٔايَةً لِّقَوْمٍ يَتَفَكَّرُونَ</t>
        </is>
      </c>
      <c r="F150" s="32" t="inlineStr">
        <is>
          <t xml:space="preserve">D’elle, Il fait pousser pour vous, les cultures, les oliviers, les palmiers, les vignes et aussi toutes sortes de fruits. Voilà bien là une preuve pour des gens qui réfléchissent.</t>
        </is>
      </c>
    </row>
    <row r="151" ht="40" customHeight="1">
      <c r="B151" s="44">
        <v>15</v>
      </c>
      <c r="C151" s="32" t="inlineStr">
        <is>
          <t xml:space="preserve">L'eau, source de vie</t>
        </is>
      </c>
      <c r="D151" s="78" t="inlineStr">
        <is>
          <t xml:space="preserve">Al-Waqi'ah 56:68</t>
        </is>
      </c>
      <c r="E151" s="76" t="inlineStr">
        <is>
          <t xml:space="preserve">أَفَرَءَيْتُمُ ٱلْمَآءَ ٱلَّذِى تَشْرَبُونَ</t>
        </is>
      </c>
      <c r="F151" s="32" t="inlineStr">
        <is>
          <t xml:space="preserve">Voyez-vous donc l’eau que vous buvez ?</t>
        </is>
      </c>
    </row>
    <row r="152" ht="41" customHeight="1">
      <c r="B152" s="44">
        <v>15</v>
      </c>
      <c r="C152" s="32" t="inlineStr">
        <is>
          <t xml:space="preserve">L'eau, source de vie</t>
        </is>
      </c>
      <c r="D152" s="78" t="inlineStr">
        <is>
          <t xml:space="preserve">Al-Waqi'ah 56:69</t>
        </is>
      </c>
      <c r="E152" s="76" t="inlineStr">
        <is>
          <t xml:space="preserve">ءَأَنتُمْ أَنزَلْتُمُوهُ مِنَ ٱلْمُزْنِ أَمْ نَحْنُ ٱلْمُنزِلُونَ</t>
        </is>
      </c>
      <c r="F152" s="32" t="inlineStr">
        <is>
          <t xml:space="preserve">Est-ce vous qui l’avez fait descendre du nuage ? ou [en] sommes Nous le descendeur ?</t>
        </is>
      </c>
    </row>
    <row r="153" ht="41" customHeight="1">
      <c r="B153" s="44">
        <v>15</v>
      </c>
      <c r="C153" s="32" t="inlineStr">
        <is>
          <t xml:space="preserve">L'eau, source de vie</t>
        </is>
      </c>
      <c r="D153" s="78" t="inlineStr">
        <is>
          <t xml:space="preserve">Al-Waqi'ah 56:70</t>
        </is>
      </c>
      <c r="E153" s="76" t="inlineStr">
        <is>
          <t xml:space="preserve">لَوْ نَشَآءُ جَعَلْنَـٰهُ أُجَاجًا فَلَوْلَا تَشْكُرُونَ</t>
        </is>
      </c>
      <c r="F153" s="32" t="inlineStr">
        <is>
          <t xml:space="preserve">Si Nous voulions, Nous la rendrions salée. Pourquoi n’êtes- vous donc pas reconnaissants ?</t>
        </is>
      </c>
    </row>
    <row r="154" ht="92" customHeight="1">
      <c r="B154" s="44">
        <v>15</v>
      </c>
      <c r="C154" s="32" t="inlineStr">
        <is>
          <t xml:space="preserve">L'eau, source de vie</t>
        </is>
      </c>
      <c r="D154" s="78" t="inlineStr">
        <is>
          <t xml:space="preserve">An-Nur 24:45</t>
        </is>
      </c>
      <c r="E154" s="76" t="inlineStr">
        <is>
          <t xml:space="preserve">وَٱللَّهُ خَلَقَ كُلَّ دَآبَّةٍ مِّن مَّآءٍ ۖ فَمِنْهُم مَّن يَمْشِى عَلَىٰ بَطْنِهِۦ وَمِنْهُم مَّن يَمْشِى عَلَىٰ رِجْلَيْنِ وَمِنْهُم مَّن يَمْشِى عَلَىٰٓ أَرْبَعٍ ۚ يَخْلُقُ ٱللَّهُ مَا يَشَآءُ ۚ إِنَّ ٱللَّهَ عَلَىٰ كُلِّ شَىْءٍ قَدِيرٌ</t>
        </is>
      </c>
      <c r="F154" s="32" t="inlineStr">
        <is>
          <t xml:space="preserve">Et Allah a créé d’eau tout animal . Il y en a qui marche sur le ventre, d’autres marchent sur deux pattes, et d’autres encore marchent sur quatre. Allah créé ce qu’Il veut car Allah est Omnipotent.</t>
        </is>
      </c>
    </row>
    <row r="155" ht="66" customHeight="1">
      <c r="B155" s="44">
        <v>15</v>
      </c>
      <c r="C155" s="32" t="inlineStr">
        <is>
          <t xml:space="preserve">L'eau, source de vie</t>
        </is>
      </c>
      <c r="D155" s="78" t="inlineStr">
        <is>
          <t xml:space="preserve">Al-Mulk 67:30</t>
        </is>
      </c>
      <c r="E155" s="76" t="inlineStr">
        <is>
          <t xml:space="preserve">قُلْ أَرَءَيْتُمْ إِنْ أَصْبَحَ مَآؤُكُمْ غَوْرًا فَمَن يَأْتِيكُم بِمَآءٍ مَّعِينٍۭ</t>
        </is>
      </c>
      <c r="F155" s="32" t="inlineStr">
        <is>
          <t xml:space="preserve">Dis : "Que vous en semble ? Si votre eau était absorbée au plus profond de la terre, qui donc vous apporterait de l’eau de source?"</t>
        </is>
      </c>
    </row>
    <row r="156" ht="40" customHeight="1">
      <c r="B156" s="44">
        <v>16</v>
      </c>
      <c r="C156" s="32" t="inlineStr">
        <is>
          <t xml:space="preserve">Le sommeil et le repos</t>
        </is>
      </c>
      <c r="D156" s="78" t="inlineStr">
        <is>
          <t xml:space="preserve">An-Naba 78:9</t>
        </is>
      </c>
      <c r="E156" s="76" t="inlineStr">
        <is>
          <t xml:space="preserve">وَجَعَلْنَا نَوْمَكُمْ سُبَاتًا</t>
        </is>
      </c>
      <c r="F156" s="32" t="inlineStr">
        <is>
          <t xml:space="preserve">et désigné votre sommeil pour votre repos,</t>
        </is>
      </c>
    </row>
    <row r="157" ht="40" customHeight="1">
      <c r="B157" s="44">
        <v>16</v>
      </c>
      <c r="C157" s="32" t="inlineStr">
        <is>
          <t xml:space="preserve">Le sommeil et le repos</t>
        </is>
      </c>
      <c r="D157" s="78" t="inlineStr">
        <is>
          <t xml:space="preserve">An-Naba 78:10</t>
        </is>
      </c>
      <c r="E157" s="76" t="inlineStr">
        <is>
          <t xml:space="preserve">وَجَعَلْنَا ٱلَّيْلَ لِبَاسًا</t>
        </is>
      </c>
      <c r="F157" s="32" t="inlineStr">
        <is>
          <t xml:space="preserve">et fait de la nuit un vêtement,</t>
        </is>
      </c>
    </row>
    <row r="158" ht="40" customHeight="1">
      <c r="B158" s="44">
        <v>16</v>
      </c>
      <c r="C158" s="32" t="inlineStr">
        <is>
          <t xml:space="preserve">Le sommeil et le repos</t>
        </is>
      </c>
      <c r="D158" s="78" t="inlineStr">
        <is>
          <t xml:space="preserve">An-Naba 78:11</t>
        </is>
      </c>
      <c r="E158" s="76" t="inlineStr">
        <is>
          <t xml:space="preserve">وَجَعَلْنَا ٱلنَّهَارَ مَعَاشًا</t>
        </is>
      </c>
      <c r="F158" s="32" t="inlineStr">
        <is>
          <t xml:space="preserve">et assigné le jour pour les affaires de la vie,</t>
        </is>
      </c>
    </row>
    <row r="159" ht="66" customHeight="1">
      <c r="B159" s="44">
        <v>16</v>
      </c>
      <c r="C159" s="32" t="inlineStr">
        <is>
          <t xml:space="preserve">Le sommeil et le repos</t>
        </is>
      </c>
      <c r="D159" s="78" t="inlineStr">
        <is>
          <t xml:space="preserve">Al-Furqan 25:47</t>
        </is>
      </c>
      <c r="E159" s="76" t="inlineStr">
        <is>
          <t xml:space="preserve">وَهُوَ ٱلَّذِى جَعَلَ لَكُمُ ٱلَّيْلَ لِبَاسًا وَٱلنَّوْمَ سُبَاتًا وَجَعَلَ ٱلنَّهَارَ نُشُورًا</t>
        </is>
      </c>
      <c r="F159" s="32" t="inlineStr">
        <is>
          <t xml:space="preserve">Et c’est Lui qui vous fit de la nuit un vêtement, du sommeil un repos et qui fit du jour un retour à la vie active.</t>
        </is>
      </c>
    </row>
    <row r="160" ht="66" customHeight="1">
      <c r="B160" s="44">
        <v>16</v>
      </c>
      <c r="C160" s="32" t="inlineStr">
        <is>
          <t xml:space="preserve">Le sommeil et le repos</t>
        </is>
      </c>
      <c r="D160" s="78" t="inlineStr">
        <is>
          <t xml:space="preserve">Ar-Rum 30:23</t>
        </is>
      </c>
      <c r="E160" s="76" t="inlineStr">
        <is>
          <t xml:space="preserve">وَمِنْ ءَايَـٰتِهِۦ مَنَامُكُم بِٱلَّيْلِ وَٱلنَّهَارِ وَٱبْتِغَآؤُكُم مِّن فَضْلِهِۦٓ ۚ إِنَّ فِى ذَٰلِكَ لَـَٔايَـٰتٍ لِّقَوْمٍ يَسْمَعُونَ</t>
        </is>
      </c>
      <c r="F160" s="32" t="inlineStr">
        <is>
          <t xml:space="preserve">Et parmi Ses signes votre sommeil la nuit et le jour, et aussi votre quête de Sa grâce. Il y a en cela des preuves pour des gens qui entendent.</t>
        </is>
      </c>
    </row>
    <row r="161" ht="66" customHeight="1">
      <c r="B161" s="44">
        <v>16</v>
      </c>
      <c r="C161" s="32" t="inlineStr">
        <is>
          <t xml:space="preserve">Le sommeil et le repos</t>
        </is>
      </c>
      <c r="D161" s="78" t="inlineStr">
        <is>
          <t xml:space="preserve">Al-Qasas 28:73</t>
        </is>
      </c>
      <c r="E161" s="76" t="inlineStr">
        <is>
          <t xml:space="preserve">وَمِن رَّحْمَتِهِۦ جَعَلَ لَكُمُ ٱلَّيْلَ وَٱلنَّهَارَ لِتَسْكُنُوا۟ فِيهِ وَلِتَبْتَغُوا۟ مِن فَضْلِهِۦ وَلَعَلَّكُمْ تَشْكُرُونَ</t>
        </is>
      </c>
      <c r="F161" s="32" t="inlineStr">
        <is>
          <t xml:space="preserve">C’est de par Sa miséricorde qu’Il vous a assigné la nuit et le jour pour que vous vous reposiez et cherchiez de Sa grâce, et afin que vous soyez reconnaissants.</t>
        </is>
      </c>
    </row>
    <row r="162" ht="92" customHeight="1">
      <c r="B162" s="44">
        <v>16</v>
      </c>
      <c r="C162" s="32" t="inlineStr">
        <is>
          <t xml:space="preserve">Le sommeil et le repos</t>
        </is>
      </c>
      <c r="D162" s="78" t="inlineStr">
        <is>
          <t xml:space="preserve">Al-An'am 6:60</t>
        </is>
      </c>
      <c r="E162" s="76" t="inlineStr">
        <is>
          <t xml:space="preserve">وَهُوَ ٱلَّذِى يَتَوَفَّىٰكُم بِٱلَّيْلِ وَيَعْلَمُ مَا جَرَحْتُم بِٱلنَّهَارِ ثُمَّ يَبْعَثُكُمْ فِيهِ لِيُقْضَىٰٓ أَجَلٌ مُّسَمًّى ۖ ثُمَّ إِلَيْهِ مَرْجِعُكُمْ ثُمَّ يُنَبِّئُكُم بِمَا كُنتُمْ تَعْمَلُونَ</t>
        </is>
      </c>
      <c r="F162" s="32" t="inlineStr">
        <is>
          <t xml:space="preserve">Et, la nuit, c’est Lui qui reprend vos âmes, et Il sait ce que vous avez acquis pendant le jour. Puis Il vous ressuscite le jour afin que s’accomplisse le terme fixé. Ensuite, c’est vers Lui que sera votre retour, puis Il vous informera de ce que vous faisiez .</t>
        </is>
      </c>
    </row>
    <row r="163" ht="92" customHeight="1">
      <c r="B163" s="44">
        <v>16</v>
      </c>
      <c r="C163" s="32" t="inlineStr">
        <is>
          <t xml:space="preserve">Le sommeil et le repos</t>
        </is>
      </c>
      <c r="D163" s="78" t="inlineStr">
        <is>
          <t xml:space="preserve">Az-Zumar 39:42</t>
        </is>
      </c>
      <c r="E163" s="76" t="inlineStr">
        <is>
          <t xml:space="preserve">ٱللَّهُ يَتَوَفَّى ٱلْأَنفُسَ حِينَ مَوْتِهَا وَٱلَّتِى لَمْ تَمُتْ فِى مَنَامِهَا ۖ فَيُمْسِكُ ٱلَّتِى قَضَىٰ عَلَيْهَا ٱلْمَوْتَ وَيُرْسِلُ ٱلْأُخْرَىٰٓ إِلَىٰٓ أَجَلٍ مُّسَمًّى ۚ إِنَّ فِى ذَٰلِكَ لَـَٔايَـٰتٍ لِّقَوْمٍ يَتَفَكَّرُونَ</t>
        </is>
      </c>
      <c r="F163" s="32" t="inlineStr">
        <is>
          <t xml:space="preserve">Allah saisit les âmes au moment de leur mort ainsi que celles qui ne meurent pas au cours de leur sommeil. Il retient celles à qui Il a décrété la mort, tandis qu’Il renvoie les autres jusqu’à un terme fixé. Il y a certainement là des preuves pour des gens qui réfléchissent.</t>
        </is>
      </c>
    </row>
    <row r="164" ht="92" customHeight="1">
      <c r="B164" s="44">
        <v>16</v>
      </c>
      <c r="C164" s="32" t="inlineStr">
        <is>
          <t xml:space="preserve">Le sommeil et le repos</t>
        </is>
      </c>
      <c r="D164" s="78" t="inlineStr">
        <is>
          <t xml:space="preserve">Al-Isra 17:12</t>
        </is>
      </c>
      <c r="E164" s="76" t="inlineStr">
        <is>
          <t xml:space="preserve">وَجَعَلْنَا ٱلَّيْلَ وَٱلنَّهَارَ ءَايَتَيْنِ ۖ فَمَحَوْنَآ ءَايَةَ ٱلَّيْلِ وَجَعَلْنَآ ءَايَةَ ٱلنَّهَارِ مُبْصِرَةً لِّتَبْتَغُوا۟ فَضْلًا مِّن رَّبِّكُمْ وَلِتَعْلَمُوا۟ عَدَدَ ٱلسِّنِينَ وَٱلْحِسَابَ ۚ وَكُلَّ شَىْءٍ فَصَّلْنَـٰهُ تَفْصِيلًا</t>
        </is>
      </c>
      <c r="F164" s="32" t="inlineStr">
        <is>
          <t xml:space="preserve">Nous avons fait de la nuit et du jour deux signes, et Nous avons effacé le signe de la nuit, tandis que Nous avons rendu visible le signe du jour, pour que vous recherchiez des grâces de votre Seigneur, et que vous sachiez le nombre des années et le calcul du temps. Et Nous avons expliqué toute chose d’une manière détaillée.</t>
        </is>
      </c>
    </row>
    <row r="165" ht="66" customHeight="1">
      <c r="B165" s="44">
        <v>16</v>
      </c>
      <c r="C165" s="32" t="inlineStr">
        <is>
          <t xml:space="preserve">Le sommeil et le repos</t>
        </is>
      </c>
      <c r="D165" s="78" t="inlineStr">
        <is>
          <t xml:space="preserve">Yunus 10:67</t>
        </is>
      </c>
      <c r="E165" s="76" t="inlineStr">
        <is>
          <t xml:space="preserve">هُوَ ٱلَّذِى جَعَلَ لَكُمُ ٱلَّيْلَ لِتَسْكُنُوا۟ فِيهِ وَٱلنَّهَارَ مُبْصِرًا ۚ إِنَّ فِى ذَٰلِكَ لَـَٔايَـٰتٍ لِّقَوْمٍ يَسْمَعُونَ</t>
        </is>
      </c>
      <c r="F165" s="32" t="inlineStr">
        <is>
          <t xml:space="preserve">C’est Lui qui vous a désigné la nuit pour que vous vous y reposiez, et le jour pour vous permettre de voir. Ce sont en vérité des signes pour des gens qui entendent !</t>
        </is>
      </c>
    </row>
    <row r="166" ht="66" customHeight="1">
      <c r="B166" s="44">
        <v>17</v>
      </c>
      <c r="C166" s="32" t="inlineStr">
        <is>
          <t xml:space="preserve">Le mois de Ramadan</t>
        </is>
      </c>
      <c r="D166" s="78" t="inlineStr">
        <is>
          <t xml:space="preserve">Al-Baqarah 2:183</t>
        </is>
      </c>
      <c r="E166" s="76" t="inlineStr">
        <is>
          <t xml:space="preserve">يَـٰٓأَيُّهَا ٱلَّذِينَ ءَامَنُوا۟ كُتِبَ عَلَيْكُمُ ٱلصِّيَامُ كَمَا كُتِبَ عَلَى ٱلَّذِينَ مِن قَبْلِكُمْ لَعَلَّكُمْ تَتَّقُونَ</t>
        </is>
      </c>
      <c r="F166" s="32" t="inlineStr">
        <is>
          <t xml:space="preserve">Ô les croyants! On vous a prescrit le jeûne (aṣ-Ṣiyām) comme on l’a prescrit à ceux d’avant vous, ainsi atteindrez-vous la piété,</t>
        </is>
      </c>
    </row>
    <row r="167" ht="118" customHeight="1">
      <c r="B167" s="44">
        <v>17</v>
      </c>
      <c r="C167" s="32" t="inlineStr">
        <is>
          <t xml:space="preserve">Le mois de Ramadan</t>
        </is>
      </c>
      <c r="D167" s="78" t="inlineStr">
        <is>
          <t xml:space="preserve">Al-Baqarah 2:184</t>
        </is>
      </c>
      <c r="E167" s="76" t="inlineStr">
        <is>
          <t xml:space="preserve">أَيَّامًا مَّعْدُودَٰتٍ ۚ فَمَن كَانَ مِنكُم مَّرِيضًا أَوْ عَلَىٰ سَفَرٍ فَعِدَّةٌ مِّنْ أَيَّامٍ أُخَرَ ۚ وَعَلَى ٱلَّذِينَ يُطِيقُونَهُۥ فِدْيَةٌ طَعَامُ مِسْكِينٍ ۖ فَمَن تَطَوَّعَ خَيْرًا فَهُوَ خَيْرٌ لَّهُۥ ۚ وَأَن تَصُومُوا۟ خَيْرٌ لَّكُمْ ۖ إِن كُنتُمْ تَعْلَمُونَ</t>
        </is>
      </c>
      <c r="F167" s="32" t="inlineStr">
        <is>
          <t xml:space="preserve">pendant un nombre déterminé de jours. Quiconque d’entre vous est malade ou en voyage, devra jeûner alors un nombre égal d’autres jours. Mais pour ceux qui ne pourraient le supporter (qu’avec grande difficulté), il y a une compensation: nourrir un pauvre. Et si quelqu’un fait plus de son propre gré, c’est pour lui; mais il est mieux pour vous de jeûner, si vous saviez !</t>
        </is>
      </c>
    </row>
    <row r="168" ht="144" customHeight="1">
      <c r="B168" s="44">
        <v>17</v>
      </c>
      <c r="C168" s="32" t="inlineStr">
        <is>
          <t xml:space="preserve">Le mois de Ramadan</t>
        </is>
      </c>
      <c r="D168" s="78" t="inlineStr">
        <is>
          <t xml:space="preserve">Al-Baqarah 2:185</t>
        </is>
      </c>
      <c r="E168" s="76" t="inlineStr">
        <is>
          <t xml:space="preserve">شَهْرُ رَمَضَانَ ٱلَّذِىٓ أُنزِلَ فِيهِ ٱلْقُرْءَانُ هُدًى لِّلنَّاسِ وَبَيِّنَـٰتٍ مِّنَ ٱلْهُدَىٰ وَٱلْفُرْقَانِ ۚ فَمَن شَهِدَ مِنكُمُ ٱلشَّهْرَ فَلْيَصُمْهُ ۖ وَمَن كَانَ مَرِيضًا أَوْ عَلَىٰ سَفَرٍ فَعِدَّةٌ مِّنْ أَيَّامٍ أُخَرَ ۗ يُرِيدُ ٱللَّهُ بِكُمُ ٱلْيُسْرَ وَلَا يُرِيدُ بِكُمُ ٱلْعُسْرَ وَلِتُكْمِلُوا۟ ٱلْعِدَّةَ وَلِتُكَبِّرُوا۟ ٱللَّهَ عَلَىٰ مَا هَدَىٰكُمْ وَلَعَلَّكُمْ تَشْكُرُونَ</t>
        </is>
      </c>
      <c r="F168" s="32" t="inlineStr">
        <is>
          <t xml:space="preserve">Le mois de Ramadān est celui au cours duquel le Coran a été descendu [révélé] comme guide pour les gens, et preuves claires de la bonne direction et du discernement. Donc quiconque d'entre vous est présent en ce mois, qu’il jeûne! Et quiconque est malade ou en voyage, alors qu’il jeûne un nombre égal d’autres jours. Allah veut pour vous la facilité, et Il ne veut pas la difficulté pour vous, afin que vous en complétiez le nombre et que vous proclamiez la grandeur d’Allah pour vous avoir guidés, et afin que vous soyez reconnaissants!</t>
        </is>
      </c>
    </row>
    <row r="169" ht="68" customHeight="1">
      <c r="B169" s="44">
        <v>17</v>
      </c>
      <c r="C169" s="32" t="inlineStr">
        <is>
          <t xml:space="preserve">Le mois de Ramadan</t>
        </is>
      </c>
      <c r="D169" s="78" t="inlineStr">
        <is>
          <t xml:space="preserve">Al-Baqarah 2:186</t>
        </is>
      </c>
      <c r="E169" s="76" t="inlineStr">
        <is>
          <t xml:space="preserve">وَإِذَا سَأَلَكَ عِبَادِى عَنِّى فَإِنِّى قَرِيبٌ ۖ أُجِيبُ دَعْوَةَ ٱلدَّاعِ إِذَا دَعَانِ ۖ فَلْيَسْتَجِيبُوا۟ لِى وَلْيُؤْمِنُوا۟ بِى لَعَلَّهُمْ يَرْشُدُونَ</t>
        </is>
      </c>
      <c r="F169" s="32" t="inlineStr">
        <is>
          <t xml:space="preserve">Et quand Mes serviteurs t’interrogent sur Moi, alors Je suis tout proche: Je réponds à l’appel de celui qui M’invoque quand il M’invoque. Qu’ils répondent donc à Mon appel, et qu’ils croient en Moi, afin qu’ils soient bien guidés.</t>
        </is>
      </c>
    </row>
    <row r="170" ht="222" customHeight="1">
      <c r="B170" s="44">
        <v>17</v>
      </c>
      <c r="C170" s="32" t="inlineStr">
        <is>
          <t xml:space="preserve">Le mois de Ramadan</t>
        </is>
      </c>
      <c r="D170" s="78" t="inlineStr">
        <is>
          <t xml:space="preserve">Al-Baqarah 2:187</t>
        </is>
      </c>
      <c r="E170" s="76" t="inlineStr">
        <is>
          <t xml:space="preserve">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F170" s="32" t="inlineStr">
        <is>
          <t xml:space="preserve">On vous a permis, la nuit du [mois de] jeûne (As-Siyâm), d’avoir des rapports avec vos femmes; elles sont un vêtement pour vous et vous êtes un vêtement pour elles. Allah sait que vous aviez clandestinement des rapports avec vos femmes. Il vous a pardonné et vous a graciés. Cohabitez donc avec elles, maintenant, et cherchez ce qu’Allah a prescrit en votre faveur; mangez et buvez jusqu’à ce que se distingue, pour vous, le fil blanc de l’aube du fil noir de la nuit. Puis accomplissez le jeûne jusqu’à [la tombée de] la nuit. Mais ne cohabitez pas avec elles pendant que vous êtes en retraite rituelle dans les mosquées. Voilà les lois d’Allah: ne vous en approchez donc pas [pour les transgresser]. C’est ainsi qu’Allah expose aux hommes Ses enseignements, afin qu’ils deviennent pieux.</t>
        </is>
      </c>
    </row>
    <row r="171" ht="41" customHeight="1">
      <c r="B171" s="44">
        <v>17</v>
      </c>
      <c r="C171" s="32" t="inlineStr">
        <is>
          <t xml:space="preserve">Le mois de Ramadan</t>
        </is>
      </c>
      <c r="D171" s="78" t="inlineStr">
        <is>
          <t xml:space="preserve">Al-Qadr 97:1</t>
        </is>
      </c>
      <c r="E171" s="76" t="inlineStr">
        <is>
          <t xml:space="preserve">إِنَّآ أَنزَلْنَـٰهُ فِى لَيْلَةِ ٱلْقَدْرِ</t>
        </is>
      </c>
      <c r="F171" s="32" t="inlineStr">
        <is>
          <t xml:space="preserve">Nous l’avons certes, fait descendre (le Coran) pendant la nuit d’Al-Qadr (du Destin).</t>
        </is>
      </c>
    </row>
    <row r="172" ht="40" customHeight="1">
      <c r="B172" s="44">
        <v>17</v>
      </c>
      <c r="C172" s="32" t="inlineStr">
        <is>
          <t xml:space="preserve">Le mois de Ramadan</t>
        </is>
      </c>
      <c r="D172" s="78" t="inlineStr">
        <is>
          <t xml:space="preserve">Al-Qadr 97:2</t>
        </is>
      </c>
      <c r="E172" s="76" t="inlineStr">
        <is>
          <t xml:space="preserve">وَمَآ أَدْرَىٰكَ مَا لَيْلَةُ ٱلْقَدْرِ</t>
        </is>
      </c>
      <c r="F172" s="32" t="inlineStr">
        <is>
          <t xml:space="preserve">Et qui te dira ce qu’est la nuit d’Al-Qadr ?</t>
        </is>
      </c>
    </row>
    <row r="173" ht="40" customHeight="1">
      <c r="B173" s="44">
        <v>17</v>
      </c>
      <c r="C173" s="32" t="inlineStr">
        <is>
          <t xml:space="preserve">Le mois de Ramadan</t>
        </is>
      </c>
      <c r="D173" s="78" t="inlineStr">
        <is>
          <t xml:space="preserve">Al-Qadr 97:3</t>
        </is>
      </c>
      <c r="E173" s="76" t="inlineStr">
        <is>
          <t xml:space="preserve">لَيْلَةُ ٱلْقَدْرِ خَيْرٌ مِّنْ أَلْفِ شَهْرٍ</t>
        </is>
      </c>
      <c r="F173" s="32" t="inlineStr">
        <is>
          <t xml:space="preserve">La nuit d’Al-Qadr est meilleure que mille mois.</t>
        </is>
      </c>
    </row>
    <row r="174" ht="41" customHeight="1">
      <c r="B174" s="44">
        <v>17</v>
      </c>
      <c r="C174" s="32" t="inlineStr">
        <is>
          <t xml:space="preserve">Le mois de Ramadan</t>
        </is>
      </c>
      <c r="D174" s="78" t="inlineStr">
        <is>
          <t xml:space="preserve">Al-Qadr 97:4</t>
        </is>
      </c>
      <c r="E174" s="76" t="inlineStr">
        <is>
          <t xml:space="preserve">تَنَزَّلُ ٱلْمَلَـٰٓئِكَةُ وَٱلرُّوحُ فِيهَا بِإِذْنِ رَبِّهِم مِّن كُلِّ أَمْرٍ</t>
        </is>
      </c>
      <c r="F174" s="32" t="inlineStr">
        <is>
          <t xml:space="preserve">Durant celle-ci descendent les Anges ainsi que l’Esprit , par permission de leur Seigneur pour tout ordre.</t>
        </is>
      </c>
    </row>
    <row r="175" ht="40" customHeight="1">
      <c r="B175" s="44">
        <v>17</v>
      </c>
      <c r="C175" s="32" t="inlineStr">
        <is>
          <t xml:space="preserve">Le mois de Ramadan</t>
        </is>
      </c>
      <c r="D175" s="78" t="inlineStr">
        <is>
          <t xml:space="preserve">Al-Qadr 97:5</t>
        </is>
      </c>
      <c r="E175" s="76" t="inlineStr">
        <is>
          <t xml:space="preserve">سَلَـٰمٌ هِىَ حَتَّىٰ مَطْلَعِ ٱلْفَجْرِ</t>
        </is>
      </c>
      <c r="F175" s="32" t="inlineStr">
        <is>
          <t xml:space="preserve">Elle est paix et salut jusqu’à l’apparition de l’aube.</t>
        </is>
      </c>
    </row>
    <row r="176" ht="92" customHeight="1">
      <c r="B176" s="44">
        <v>18</v>
      </c>
      <c r="C176" s="32" t="inlineStr">
        <is>
          <t xml:space="preserve">La piété (taqwa)</t>
        </is>
      </c>
      <c r="D176" s="78" t="inlineStr">
        <is>
          <t xml:space="preserve">Al-Hujurat 49:13</t>
        </is>
      </c>
      <c r="E176" s="76" t="inlineStr">
        <is>
          <t xml:space="preserve">يَـٰٓأَيُّهَا ٱلنَّاسُ إِنَّا خَلَقْنَـٰكُم مِّن ذَكَرٍ وَأُنثَىٰ وَجَعَلْنَـٰكُمْ شُعُوبًا وَقَبَآئِلَ لِتَعَارَفُوٓا۟ ۚ إِنَّ أَكْرَمَكُمْ عِندَ ٱللَّهِ أَتْقَىٰكُمْ ۚ إِنَّ ٱللَّهَ عَلِيمٌ خَبِيرٌ</t>
        </is>
      </c>
      <c r="F176" s="32" t="inlineStr">
        <is>
          <t xml:space="preserve">Ô hommes ! Nous vous avons créés d’un mâle et d’une femelle, et Nous avons fait de vous des nations et des tribus, pour que vous vous entreconnaissiez. Le plus noble d’entre vous, auprès d’Allah, est le plus pieux. Allah est certes Omniscient et Grand- Connaisseur.</t>
        </is>
      </c>
    </row>
    <row r="177" ht="66" customHeight="1">
      <c r="B177" s="44">
        <v>18</v>
      </c>
      <c r="C177" s="32" t="inlineStr">
        <is>
          <t xml:space="preserve">La piété (taqwa)</t>
        </is>
      </c>
      <c r="D177" s="78" t="inlineStr">
        <is>
          <t xml:space="preserve">Ali 'Imran 3:102</t>
        </is>
      </c>
      <c r="E177" s="76" t="inlineStr">
        <is>
          <t xml:space="preserve">يَـٰٓأَيُّهَا ٱلَّذِينَ ءَامَنُوا۟ ٱتَّقُوا۟ ٱللَّهَ حَقَّ تُقَاتِهِۦ وَلَا تَمُوتُنَّ إِلَّا وَأَنتُم مُّسْلِمُونَ</t>
        </is>
      </c>
      <c r="F177" s="32" t="inlineStr">
        <is>
          <t xml:space="preserve">Ô les croyants! Craignez Allah comme Il doit être craint. Et ne mourez qu’en pleine soumission [en étant Musulmans].</t>
        </is>
      </c>
    </row>
    <row r="178" ht="118" customHeight="1">
      <c r="B178" s="44">
        <v>18</v>
      </c>
      <c r="C178" s="32" t="inlineStr">
        <is>
          <t xml:space="preserve">La piété (taqwa)</t>
        </is>
      </c>
      <c r="D178" s="78" t="inlineStr">
        <is>
          <t xml:space="preserve">At-Talaq 65:2</t>
        </is>
      </c>
      <c r="E178" s="76" t="inlineStr">
        <is>
          <t xml:space="preserve">فَإِذَا بَلَغْنَ أَجَلَهُنَّ فَأَمْسِكُوهُنَّ بِمَعْرُوفٍ أَوْ فَارِقُوهُنَّ بِمَعْرُوفٍ وَأَشْهِدُوا۟ ذَوَىْ عَدْلٍ مِّنكُمْ وَأَقِيمُوا۟ ٱلشَّهَـٰدَةَ لِلَّهِ ۚ ذَٰلِكُمْ يُوعَظُ بِهِۦ مَن كَانَ يُؤْمِنُ بِٱللَّهِ وَٱلْيَوْمِ ٱلْـَٔاخِرِ ۚ وَمَن يَتَّقِ ٱللَّهَ يَجْعَل لَّهُۥ مَخْرَجًا</t>
        </is>
      </c>
      <c r="F178" s="32" t="inlineStr">
        <is>
          <t xml:space="preserve">Puis quand elles atteignent le terme prescrit, retenez-les de façon convenable, ou séparez-vous d’elles de façon convenable ; et prenez deux hommes intègres parmi vous comme témoins. Et acquittez-vous du témoignage envers Allah. Voilà ce à quoi est exhorté celui qui croit en Allah et au Jour dernier. Et quiconque craint Allah, il lui donnera une issue favorable,</t>
        </is>
      </c>
    </row>
    <row r="179" ht="66" customHeight="1">
      <c r="B179" s="44">
        <v>18</v>
      </c>
      <c r="C179" s="32" t="inlineStr">
        <is>
          <t xml:space="preserve">La piété (taqwa)</t>
        </is>
      </c>
      <c r="D179" s="78" t="inlineStr">
        <is>
          <t xml:space="preserve">At-Talaq 65:3</t>
        </is>
      </c>
      <c r="E179" s="76" t="inlineStr">
        <is>
          <t xml:space="preserve">وَيَرْزُقْهُ مِنْ حَيْثُ لَا يَحْتَسِبُ ۚ وَمَن يَتَوَكَّلْ عَلَى ٱللَّهِ فَهُوَ حَسْبُهُۥٓ ۚ إِنَّ ٱللَّهَ بَـٰلِغُ أَمْرِهِۦ ۚ قَدْ جَعَلَ ٱللَّهُ لِكُلِّ شَىْءٍ قَدْرًا</t>
        </is>
      </c>
      <c r="F179" s="32" t="inlineStr">
        <is>
          <t xml:space="preserve">et lui accordera Ses dons par [des moyens] sur lesquels il ne comptait pas. Et quiconque place sa confiance en Allah, Il [Allah] lui suffit. Allah atteint ce qu’Il Se propose, et Allah a assigné une mesure à chaque chose.</t>
        </is>
      </c>
    </row>
    <row r="180" ht="92" customHeight="1">
      <c r="B180" s="44">
        <v>18</v>
      </c>
      <c r="C180" s="32" t="inlineStr">
        <is>
          <t xml:space="preserve">La piété (taqwa)</t>
        </is>
      </c>
      <c r="D180" s="78" t="inlineStr">
        <is>
          <t xml:space="preserve">Al-Anfal 8:29</t>
        </is>
      </c>
      <c r="E180" s="76" t="inlineStr">
        <is>
          <t xml:space="preserve">يَـٰٓأَيُّهَا ٱلَّذِينَ ءَامَنُوٓا۟ إِن تَتَّقُوا۟ ٱللَّهَ يَجْعَل لَّكُمْ فُرْقَانًا وَيُكَفِّرْ عَنكُمْ سَيِّـَٔاتِكُمْ وَيَغْفِرْ لَكُمْ ۗ وَٱللَّهُ ذُو ٱلْفَضْلِ ٱلْعَظِيمِ</t>
        </is>
      </c>
      <c r="F180" s="32" t="inlineStr">
        <is>
          <t xml:space="preserve">Ô vous qui croyez! Si vous craignez Allah, Il vous accordera la faculté de discerner (entre le bien et le mal), vous effacera vos méfaits et [Il] vous pardonnera. Et Allah est le Détenteur de l’énorme grâce.</t>
        </is>
      </c>
    </row>
    <row r="181" ht="66" customHeight="1">
      <c r="B181" s="44">
        <v>18</v>
      </c>
      <c r="C181" s="32" t="inlineStr">
        <is>
          <t xml:space="preserve">La piété (taqwa)</t>
        </is>
      </c>
      <c r="D181" s="78" t="inlineStr">
        <is>
          <t xml:space="preserve">At-Taghabun 64:16</t>
        </is>
      </c>
      <c r="E181" s="76" t="inlineStr">
        <is>
          <t xml:space="preserve">فَٱتَّقُوا۟ ٱللَّهَ مَا ٱسْتَطَعْتُمْ وَٱسْمَعُوا۟ وَأَطِيعُوا۟ وَأَنفِقُوا۟ خَيْرًا لِّأَنفُسِكُمْ ۗ وَمَن يُوقَ شُحَّ نَفْسِهِۦ فَأُو۟لَـٰٓئِكَ هُمُ ٱلْمُفْلِحُونَ</t>
        </is>
      </c>
      <c r="F181" s="32" t="inlineStr">
        <is>
          <t xml:space="preserve">Craignez Allah, donc autant que vous pouvez, écoutez, obéissez et faites largesses. Ce sera un bien pour vous. Et quiconque a été protégé contre sa propre avidité... ceux-là sont ceux qui réussissent.</t>
        </is>
      </c>
    </row>
    <row r="182" ht="118" customHeight="1">
      <c r="B182" s="44">
        <v>18</v>
      </c>
      <c r="C182" s="32" t="inlineStr">
        <is>
          <t xml:space="preserve">La piété (taqwa)</t>
        </is>
      </c>
      <c r="D182" s="78" t="inlineStr">
        <is>
          <t xml:space="preserve">Al-Baqarah 2:197</t>
        </is>
      </c>
      <c r="E182" s="76" t="inlineStr">
        <is>
          <t xml:space="preserve">ٱلْحَجُّ أَشْهُرٌ مَّعْلُومَـٰتٌ ۚ فَمَن فَرَضَ فِيهِنَّ ٱلْحَجَّ فَلَا رَفَثَ وَلَا فُسُوقَ وَلَا جِدَالَ فِى ٱلْحَجِّ ۗ وَمَا تَفْعَلُوا۟ مِنْ خَيْرٍ يَعْلَمْهُ ٱللَّهُ ۗ وَتَزَوَّدُوا۟ فَإِنَّ خَيْرَ ٱلزَّادِ ٱلتَّقْوَىٰ ۚ وَٱتَّقُونِ يَـٰٓأُو۟لِى ٱلْأَلْبَـٰبِ</t>
        </is>
      </c>
      <c r="F182" s="32" t="inlineStr">
        <is>
          <t xml:space="preserve">Le pèlerinage (Al Hajj) à lieu dans des mois connus. Si l’on se décide de l’accomplir, alors point de rapport sexuel , point de perversité, point de dispute pendant le pèlerinage. Et le bien que vous faites, Allah le sait. Et prenez vos provisions; mais vraiment la meilleure provision est la piété. Et redoutez-Moi, ô doués d’intelligence !</t>
        </is>
      </c>
    </row>
    <row r="183" ht="92" customHeight="1">
      <c r="B183" s="44">
        <v>18</v>
      </c>
      <c r="C183" s="32" t="inlineStr">
        <is>
          <t xml:space="preserve">La piété (taqwa)</t>
        </is>
      </c>
      <c r="D183" s="78" t="inlineStr">
        <is>
          <t xml:space="preserve">Al-Hadid 57:28</t>
        </is>
      </c>
      <c r="E183" s="76" t="inlineStr">
        <is>
          <t xml:space="preserve">يَـٰٓأَيُّهَا ٱلَّذِينَ ءَامَنُوا۟ ٱتَّقُوا۟ ٱللَّهَ وَءَامِنُوا۟ بِرَسُولِهِۦ يُؤْتِكُمْ كِفْلَيْنِ مِن رَّحْمَتِهِۦ وَيَجْعَل لَّكُمْ نُورًا تَمْشُونَ بِهِۦ وَيَغْفِرْ لَكُمْ ۚ وَٱللَّهُ غَفُورٌ رَّحِيمٌ</t>
        </is>
      </c>
      <c r="F183" s="32" t="inlineStr">
        <is>
          <t xml:space="preserve">Ô Vous qui avez cru ! Craignez d’Allah et croyez en Son Messager pour qu’Il vous accorde deux parts de Sa miséricorde, et qu’Il vous assigne une lumière à l’aide de laquelle vous marcherez, et qu’Il vous pardonne, car Allah est Pardonneur et Très Miséricordieux.</t>
        </is>
      </c>
    </row>
    <row r="184" ht="66" customHeight="1">
      <c r="B184" s="44">
        <v>18</v>
      </c>
      <c r="C184" s="32" t="inlineStr">
        <is>
          <t xml:space="preserve">La piété (taqwa)</t>
        </is>
      </c>
      <c r="D184" s="78" t="inlineStr">
        <is>
          <t xml:space="preserve">Al-Hashr 59:18</t>
        </is>
      </c>
      <c r="E184" s="76" t="inlineStr">
        <is>
          <t xml:space="preserve">يَـٰٓأَيُّهَا ٱلَّذِينَ ءَامَنُوا۟ ٱتَّقُوا۟ ٱللَّهَ وَلْتَنظُرْ نَفْسٌ مَّا قَدَّمَتْ لِغَدٍ ۖ وَٱتَّقُوا۟ ٱللَّهَ ۚ إِنَّ ٱللَّهَ خَبِيرٌۢ بِمَا تَعْمَلُونَ</t>
        </is>
      </c>
      <c r="F184" s="32" t="inlineStr">
        <is>
          <t xml:space="preserve">Ô vous qui avez cru ! Craignez Allah. Que chaque âme voie bien ce qu’elle a avancé pour demain. Et craignez Allah, car Allah est Parfaitement Connaisseur de ce que vous faites.</t>
        </is>
      </c>
    </row>
    <row r="185" ht="66" customHeight="1">
      <c r="B185" s="44">
        <v>18</v>
      </c>
      <c r="C185" s="32" t="inlineStr">
        <is>
          <t xml:space="preserve">La piété (taqwa)</t>
        </is>
      </c>
      <c r="D185" s="78" t="inlineStr">
        <is>
          <t xml:space="preserve">An-Nur 24:52</t>
        </is>
      </c>
      <c r="E185" s="76" t="inlineStr">
        <is>
          <t xml:space="preserve">وَمَن يُطِعِ ٱللَّهَ وَرَسُولَهُۥ وَيَخْشَ ٱللَّهَ وَيَتَّقْهِ فَأُو۟لَـٰٓئِكَ هُمُ ٱلْفَآئِزُونَ</t>
        </is>
      </c>
      <c r="F185" s="32" t="inlineStr">
        <is>
          <t xml:space="preserve">Et quiconque obéit à Allah et à Son Messager, et craint Allah et Le redoute... alors, voilà ceux qui récoltent le succès.</t>
        </is>
      </c>
    </row>
    <row r="186" ht="40" customHeight="1">
      <c r="B186" s="44">
        <v>19</v>
      </c>
      <c r="C186" s="32" t="inlineStr">
        <is>
          <t xml:space="preserve">La nuit bénie</t>
        </is>
      </c>
      <c r="D186" s="78" t="inlineStr">
        <is>
          <t xml:space="preserve">Ad-Dukhan 44:1</t>
        </is>
      </c>
      <c r="E186" s="76" t="inlineStr">
        <is>
          <t xml:space="preserve"> حمٓ</t>
        </is>
      </c>
      <c r="F186" s="32" t="inlineStr">
        <is>
          <t xml:space="preserve">Hâ, Mîm .</t>
        </is>
      </c>
    </row>
    <row r="187" ht="40" customHeight="1">
      <c r="B187" s="44">
        <v>19</v>
      </c>
      <c r="C187" s="32" t="inlineStr">
        <is>
          <t xml:space="preserve">La nuit bénie</t>
        </is>
      </c>
      <c r="D187" s="78" t="inlineStr">
        <is>
          <t xml:space="preserve">Ad-Dukhan 44:2</t>
        </is>
      </c>
      <c r="E187" s="76" t="inlineStr">
        <is>
          <t xml:space="preserve">وَٱلْكِتَـٰبِ ٱلْمُبِينِ</t>
        </is>
      </c>
      <c r="F187" s="32" t="inlineStr">
        <is>
          <t xml:space="preserve">Par le Livre (le Coran) explicite.</t>
        </is>
      </c>
    </row>
    <row r="188" ht="41" customHeight="1">
      <c r="B188" s="44">
        <v>19</v>
      </c>
      <c r="C188" s="32" t="inlineStr">
        <is>
          <t xml:space="preserve">La nuit bénie</t>
        </is>
      </c>
      <c r="D188" s="78" t="inlineStr">
        <is>
          <t xml:space="preserve">Ad-Dukhan 44:3</t>
        </is>
      </c>
      <c r="E188" s="76" t="inlineStr">
        <is>
          <t xml:space="preserve">إِنَّآ أَنزَلْنَـٰهُ فِى لَيْلَةٍ مُّبَـٰرَكَةٍ ۚ إِنَّا كُنَّا مُنذِرِينَ</t>
        </is>
      </c>
      <c r="F188" s="32" t="inlineStr">
        <is>
          <t xml:space="preserve">Nous l’avons fait descendre en une nuit bénie, Nous sommes en vérité Celui qui avertit,</t>
        </is>
      </c>
    </row>
    <row r="189" ht="40" customHeight="1">
      <c r="B189" s="44">
        <v>19</v>
      </c>
      <c r="C189" s="32" t="inlineStr">
        <is>
          <t xml:space="preserve">La nuit bénie</t>
        </is>
      </c>
      <c r="D189" s="78" t="inlineStr">
        <is>
          <t xml:space="preserve">Ad-Dukhan 44:4</t>
        </is>
      </c>
      <c r="E189" s="76" t="inlineStr">
        <is>
          <t xml:space="preserve">فِيهَا يُفْرَقُ كُلُّ أَمْرٍ حَكِيمٍ</t>
        </is>
      </c>
      <c r="F189" s="32" t="inlineStr">
        <is>
          <t xml:space="preserve">durant laquelle est décidé tout ordre sage,</t>
        </is>
      </c>
    </row>
    <row r="190" ht="41" customHeight="1">
      <c r="B190" s="44">
        <v>19</v>
      </c>
      <c r="C190" s="32" t="inlineStr">
        <is>
          <t xml:space="preserve">La nuit bénie</t>
        </is>
      </c>
      <c r="D190" s="78" t="inlineStr">
        <is>
          <t xml:space="preserve">Ad-Dukhan 44:5</t>
        </is>
      </c>
      <c r="E190" s="76" t="inlineStr">
        <is>
          <t xml:space="preserve">أَمْرًا مِّنْ عِندِنَآ ۚ إِنَّا كُنَّا مُرْسِلِينَ</t>
        </is>
      </c>
      <c r="F190" s="32" t="inlineStr">
        <is>
          <t xml:space="preserve">c’est là un commandement venant de Nous. C’est Nous qui envoyons [les Messagers],</t>
        </is>
      </c>
    </row>
    <row r="191" ht="41" customHeight="1">
      <c r="B191" s="44">
        <v>19</v>
      </c>
      <c r="C191" s="32" t="inlineStr">
        <is>
          <t xml:space="preserve">La nuit bénie</t>
        </is>
      </c>
      <c r="D191" s="78" t="inlineStr">
        <is>
          <t xml:space="preserve">Ad-Dukhan 44:6</t>
        </is>
      </c>
      <c r="E191" s="76" t="inlineStr">
        <is>
          <t xml:space="preserve">رَحْمَةً مِّن رَّبِّكَ ۚ إِنَّهُۥ هُوَ ٱلسَّمِيعُ ٱلْعَلِيمُ</t>
        </is>
      </c>
      <c r="F191" s="32" t="inlineStr">
        <is>
          <t xml:space="preserve">à titre de miséricordieux de la part de ton Seigneur, car c’est Lui l’Audient, l’Omniscient,</t>
        </is>
      </c>
    </row>
    <row r="192" ht="40" customHeight="1">
      <c r="B192" s="44">
        <v>19</v>
      </c>
      <c r="C192" s="32" t="inlineStr">
        <is>
          <t xml:space="preserve">La nuit bénie</t>
        </is>
      </c>
      <c r="D192" s="78" t="inlineStr">
        <is>
          <t xml:space="preserve">Al-Insan 76:25</t>
        </is>
      </c>
      <c r="E192" s="76" t="inlineStr">
        <is>
          <t xml:space="preserve">وَٱذْكُرِ ٱسْمَ رَبِّكَ بُكْرَةً وَأَصِيلًا</t>
        </is>
      </c>
      <c r="F192" s="32" t="inlineStr">
        <is>
          <t xml:space="preserve">Et invoque le nom de ton Seigneur, matin et après-midi ;</t>
        </is>
      </c>
    </row>
    <row r="193" ht="41" customHeight="1">
      <c r="B193" s="44">
        <v>19</v>
      </c>
      <c r="C193" s="32" t="inlineStr">
        <is>
          <t xml:space="preserve">La nuit bénie</t>
        </is>
      </c>
      <c r="D193" s="78" t="inlineStr">
        <is>
          <t xml:space="preserve">Al-Insan 76:26</t>
        </is>
      </c>
      <c r="E193" s="76" t="inlineStr">
        <is>
          <t xml:space="preserve">وَمِنَ ٱلَّيْلِ فَٱسْجُدْ لَهُۥ وَسَبِّحْهُ لَيْلًا طَوِيلًا</t>
        </is>
      </c>
      <c r="F193" s="32" t="inlineStr">
        <is>
          <t xml:space="preserve">et prosterne-toi devant Lui une partie de la nuit ; et glorifie Le de longues [heures] pendant la nuit.</t>
        </is>
      </c>
    </row>
    <row r="194" ht="40" customHeight="1">
      <c r="B194" s="44">
        <v>19</v>
      </c>
      <c r="C194" s="32" t="inlineStr">
        <is>
          <t xml:space="preserve">La nuit bénie</t>
        </is>
      </c>
      <c r="D194" s="78" t="inlineStr">
        <is>
          <t xml:space="preserve">Al-Muzzammil 73:8</t>
        </is>
      </c>
      <c r="E194" s="76" t="inlineStr">
        <is>
          <t xml:space="preserve">وَٱذْكُرِ ٱسْمَ رَبِّكَ وَتَبَتَّلْ إِلَيْهِ تَبْتِيلًا</t>
        </is>
      </c>
      <c r="F194" s="32" t="inlineStr">
        <is>
          <t xml:space="preserve">Et rappelle-toi le nom de ton Seigneur et consacre-toi totalement à Lui,</t>
        </is>
      </c>
    </row>
    <row r="195" ht="41" customHeight="1">
      <c r="B195" s="44">
        <v>19</v>
      </c>
      <c r="C195" s="32" t="inlineStr">
        <is>
          <t xml:space="preserve">La nuit bénie</t>
        </is>
      </c>
      <c r="D195" s="78" t="inlineStr">
        <is>
          <t xml:space="preserve">Al-Muzzammil 73:9</t>
        </is>
      </c>
      <c r="E195" s="76" t="inlineStr">
        <is>
          <t xml:space="preserve">رَّبُّ ٱلْمَشْرِقِ وَٱلْمَغْرِبِ لَآ إِلَـٰهَ إِلَّا هُوَ فَٱتَّخِذْهُ وَكِيلًا</t>
        </is>
      </c>
      <c r="F195" s="32" t="inlineStr">
        <is>
          <t xml:space="preserve">le Seigneur du Levant et du Couchant. Il n’y a point de divinité à part Lui. Prends-Le donc comme Protecteur.</t>
        </is>
      </c>
    </row>
    <row r="196" ht="40" customHeight="1">
      <c r="B196" s="44">
        <v>20</v>
      </c>
      <c r="C196" s="32" t="inlineStr">
        <is>
          <t xml:space="preserve">La bienfaisance</t>
        </is>
      </c>
      <c r="D196" s="78" t="inlineStr">
        <is>
          <t xml:space="preserve">Al-Balad 90:12</t>
        </is>
      </c>
      <c r="E196" s="76" t="inlineStr">
        <is>
          <t xml:space="preserve">وَمَآ أَدْرَىٰكَ مَا ٱلْعَقَبَةُ</t>
        </is>
      </c>
      <c r="F196" s="32" t="inlineStr">
        <is>
          <t xml:space="preserve">Et qui te dira ce qu’est la voie difficile ?</t>
        </is>
      </c>
    </row>
    <row r="197" ht="40" customHeight="1">
      <c r="B197" s="44">
        <v>20</v>
      </c>
      <c r="C197" s="32" t="inlineStr">
        <is>
          <t xml:space="preserve">La bienfaisance</t>
        </is>
      </c>
      <c r="D197" s="78" t="inlineStr">
        <is>
          <t xml:space="preserve">Al-Balad 90:13</t>
        </is>
      </c>
      <c r="E197" s="76" t="inlineStr">
        <is>
          <t xml:space="preserve">فَكُّ رَقَبَةٍ</t>
        </is>
      </c>
      <c r="F197" s="32" t="inlineStr">
        <is>
          <t xml:space="preserve">C’est délier un joug [affranchir un esclave],</t>
        </is>
      </c>
    </row>
    <row r="198" ht="40" customHeight="1">
      <c r="B198" s="44">
        <v>20</v>
      </c>
      <c r="C198" s="32" t="inlineStr">
        <is>
          <t xml:space="preserve">La bienfaisance</t>
        </is>
      </c>
      <c r="D198" s="78" t="inlineStr">
        <is>
          <t xml:space="preserve">Al-Balad 90:14</t>
        </is>
      </c>
      <c r="E198" s="76" t="inlineStr">
        <is>
          <t xml:space="preserve">أَوْ إِطْعَـٰمٌ فِى يَوْمٍ ذِى مَسْغَبَةٍ</t>
        </is>
      </c>
      <c r="F198" s="32" t="inlineStr">
        <is>
          <t xml:space="preserve">ou nourrir, en un jour de famine,</t>
        </is>
      </c>
    </row>
    <row r="199" ht="40" customHeight="1">
      <c r="B199" s="44">
        <v>20</v>
      </c>
      <c r="C199" s="32" t="inlineStr">
        <is>
          <t xml:space="preserve">La bienfaisance</t>
        </is>
      </c>
      <c r="D199" s="78" t="inlineStr">
        <is>
          <t xml:space="preserve">Al-Balad 90:15</t>
        </is>
      </c>
      <c r="E199" s="76" t="inlineStr">
        <is>
          <t xml:space="preserve">يَتِيمًا ذَا مَقْرَبَةٍ</t>
        </is>
      </c>
      <c r="F199" s="32" t="inlineStr">
        <is>
          <t xml:space="preserve">un orphelin proche parent.</t>
        </is>
      </c>
    </row>
    <row r="200" ht="40" customHeight="1">
      <c r="B200" s="44">
        <v>20</v>
      </c>
      <c r="C200" s="32" t="inlineStr">
        <is>
          <t xml:space="preserve">La bienfaisance</t>
        </is>
      </c>
      <c r="D200" s="78" t="inlineStr">
        <is>
          <t xml:space="preserve">Al-Balad 90:16</t>
        </is>
      </c>
      <c r="E200" s="76" t="inlineStr">
        <is>
          <t xml:space="preserve">أَوْ مِسْكِينًا ذَا مَتْرَبَةٍ</t>
        </is>
      </c>
      <c r="F200" s="32" t="inlineStr">
        <is>
          <t xml:space="preserve">ou un pauvre dans le dénouement.</t>
        </is>
      </c>
    </row>
    <row r="201" ht="92" customHeight="1">
      <c r="B201" s="44">
        <v>20</v>
      </c>
      <c r="C201" s="32" t="inlineStr">
        <is>
          <t xml:space="preserve">La bienfaisance</t>
        </is>
      </c>
      <c r="D201" s="78" t="inlineStr">
        <is>
          <t xml:space="preserve">An-Nahl 16:90</t>
        </is>
      </c>
      <c r="E201" s="76" t="inlineStr">
        <is>
          <t xml:space="preserve">۞ إِنَّ ٱللَّهَ يَأْمُرُ بِٱلْعَدْلِ وَٱلْإِحْسَـٰنِ وَإِيتَآئِ ذِى ٱلْقُرْبَىٰ وَيَنْهَىٰ عَنِ ٱلْفَحْشَآءِ وَٱلْمُنكَرِ وَٱلْبَغْىِ ۚ يَعِظُكُمْ لَعَلَّكُمْ تَذَكَّرُونَ</t>
        </is>
      </c>
      <c r="F201" s="32" t="inlineStr">
        <is>
          <t xml:space="preserve">Certes, Allah commande l’équité, la bienfaisance et l’assistance aux proches. Et Il interdit la turpitude, l’acte répréhensible et la rébellion. Il vous exhorte afin que vous vous souveniez.</t>
        </is>
      </c>
    </row>
    <row r="202" ht="40" customHeight="1">
      <c r="B202" s="44">
        <v>20</v>
      </c>
      <c r="C202" s="32" t="inlineStr">
        <is>
          <t xml:space="preserve">La bienfaisance</t>
        </is>
      </c>
      <c r="D202" s="78" t="inlineStr">
        <is>
          <t xml:space="preserve">Ar-Rahman 55:60</t>
        </is>
      </c>
      <c r="E202" s="76" t="inlineStr">
        <is>
          <t xml:space="preserve">هَلْ جَزَآءُ ٱلْإِحْسَـٰنِ إِلَّا ٱلْإِحْسَـٰنُ</t>
        </is>
      </c>
      <c r="F202" s="32" t="inlineStr">
        <is>
          <t xml:space="preserve">Y a-t-il d’autre récompense pour le bien, que le bien ?</t>
        </is>
      </c>
    </row>
    <row r="203" ht="92" customHeight="1">
      <c r="B203" s="44">
        <v>20</v>
      </c>
      <c r="C203" s="32" t="inlineStr">
        <is>
          <t xml:space="preserve">La bienfaisance</t>
        </is>
      </c>
      <c r="D203" s="78" t="inlineStr">
        <is>
          <t xml:space="preserve">Al-Qasas 28:77</t>
        </is>
      </c>
      <c r="E203" s="76" t="inlineStr">
        <is>
          <t xml:space="preserve">وَٱبْتَغِ فِيمَآ ءَاتَىٰكَ ٱللَّهُ ٱلدَّارَ ٱلْـَٔاخِرَةَ ۖ وَلَا تَنسَ نَصِيبَكَ مِنَ ٱلدُّنْيَا ۖ وَأَحْسِن كَمَآ أَحْسَنَ ٱللَّهُ إِلَيْكَ ۖ وَلَا تَبْغِ ٱلْفَسَادَ فِى ٱلْأَرْضِ ۖ إِنَّ ٱللَّهَ لَا يُحِبُّ ٱلْمُفْسِدِينَ</t>
        </is>
      </c>
      <c r="F203" s="32" t="inlineStr">
        <is>
          <t xml:space="preserve">Et recherche à travers ce qu’Allah t’a donné, la Demeure dernière. Et n’oublie pas ta part en cette vie. Et sois bienfaisant comme Allah a été bienfaisant envers toi. Et ne recherche pas la corruption sur Terre. Car Allah n’aime point les corrupteurs."</t>
        </is>
      </c>
    </row>
    <row r="204" ht="40" customHeight="1">
      <c r="B204" s="44">
        <v>20</v>
      </c>
      <c r="C204" s="32" t="inlineStr">
        <is>
          <t xml:space="preserve">La bienfaisance</t>
        </is>
      </c>
      <c r="D204" s="78" t="inlineStr">
        <is>
          <t xml:space="preserve">Adh-Dhariyat 51:19</t>
        </is>
      </c>
      <c r="E204" s="76" t="inlineStr">
        <is>
          <t xml:space="preserve">وَفِىٓ أَمْوَٰلِهِمْ حَقٌّ لِّلسَّآئِلِ وَٱلْمَحْرُومِ</t>
        </is>
      </c>
      <c r="F204" s="32" t="inlineStr">
        <is>
          <t xml:space="preserve">et dans leurs biens, il y avait un droit au mendiant et au déshérité.</t>
        </is>
      </c>
    </row>
    <row r="205" ht="66" customHeight="1">
      <c r="B205" s="44">
        <v>20</v>
      </c>
      <c r="C205" s="32" t="inlineStr">
        <is>
          <t xml:space="preserve">La bienfaisance</t>
        </is>
      </c>
      <c r="D205" s="78" t="inlineStr">
        <is>
          <t xml:space="preserve">Al-Baqarah 2:195</t>
        </is>
      </c>
      <c r="E205" s="76" t="inlineStr">
        <is>
          <t xml:space="preserve">وَأَنفِقُوا۟ فِى سَبِيلِ ٱللَّهِ وَلَا تُلْقُوا۟ بِأَيْدِيكُمْ إِلَى ٱلتَّهْلُكَةِ ۛ وَأَحْسِنُوٓا۟ ۛ إِنَّ ٱللَّهَ يُحِبُّ ٱلْمُحْسِنِينَ</t>
        </is>
      </c>
      <c r="F205" s="32" t="inlineStr">
        <is>
          <t xml:space="preserve">Et dépensez dans le sentier d’Allah. Et ne vous jetez pas par vos propres mains dans la destruction . Et faites le bien. Car Allah aime les bienfaisants.</t>
        </is>
      </c>
    </row>
    <row r="206" ht="66" customHeight="1">
      <c r="B206" s="44">
        <v>21</v>
      </c>
      <c r="C206" s="32" t="inlineStr">
        <is>
          <t xml:space="preserve">Le modèle du Messager ﷺ</t>
        </is>
      </c>
      <c r="D206" s="78" t="inlineStr">
        <is>
          <t xml:space="preserve">Al-Ahzab 33:21</t>
        </is>
      </c>
      <c r="E206" s="76" t="inlineStr">
        <is>
          <t xml:space="preserve">لَّقَدْ كَانَ لَكُمْ فِى رَسُولِ ٱللَّهِ أُسْوَةٌ حَسَنَةٌ لِّمَن كَانَ يَرْجُوا۟ ٱللَّهَ وَٱلْيَوْمَ ٱلْـَٔاخِرَ وَذَكَرَ ٱللَّهَ كَثِيرًا</t>
        </is>
      </c>
      <c r="F206" s="32" t="inlineStr">
        <is>
          <t xml:space="preserve">En effet, vous avez dans le Messager d’Allah un excellent modèle [à suivre], pour quiconque espère en Allah et au Jour dernier et évoque Allah fréquemment.</t>
        </is>
      </c>
    </row>
    <row r="207" ht="40" customHeight="1">
      <c r="B207" s="44">
        <v>21</v>
      </c>
      <c r="C207" s="32" t="inlineStr">
        <is>
          <t xml:space="preserve">Le modèle du Messager ﷺ</t>
        </is>
      </c>
      <c r="D207" s="78" t="inlineStr">
        <is>
          <t xml:space="preserve">Al-Qalam 68:4</t>
        </is>
      </c>
      <c r="E207" s="76" t="inlineStr">
        <is>
          <t xml:space="preserve">وَإِنَّكَ لَعَلَىٰ خُلُقٍ عَظِيمٍ</t>
        </is>
      </c>
      <c r="F207" s="32" t="inlineStr">
        <is>
          <t xml:space="preserve">Et tu es certes, d’une moralité éminente.</t>
        </is>
      </c>
    </row>
    <row r="208" ht="66" customHeight="1">
      <c r="B208" s="44">
        <v>21</v>
      </c>
      <c r="C208" s="32" t="inlineStr">
        <is>
          <t xml:space="preserve">Le modèle du Messager ﷺ</t>
        </is>
      </c>
      <c r="D208" s="78" t="inlineStr">
        <is>
          <t xml:space="preserve">Ali 'Imran 3:31</t>
        </is>
      </c>
      <c r="E208" s="76" t="inlineStr">
        <is>
          <t xml:space="preserve">قُلْ إِن كُنتُمْ تُحِبُّونَ ٱللَّهَ فَٱتَّبِعُونِى يُحْبِبْكُمُ ٱللَّهُ وَيَغْفِرْ لَكُمْ ذُنُوبَكُمْ ۗ وَٱللَّهُ غَفُورٌ رَّحِيمٌ</t>
        </is>
      </c>
      <c r="F208" s="32" t="inlineStr">
        <is>
          <t xml:space="preserve">Dis : "Si vous aimez vraiment Allah, suivez-moi, Allah vous aimera alors et vous pardonnera vos péchés. Allah est Pardonneur et Miséricordieux.</t>
        </is>
      </c>
    </row>
    <row r="209" ht="40" customHeight="1">
      <c r="B209" s="44">
        <v>21</v>
      </c>
      <c r="C209" s="32" t="inlineStr">
        <is>
          <t xml:space="preserve">Le modèle du Messager ﷺ</t>
        </is>
      </c>
      <c r="D209" s="78" t="inlineStr">
        <is>
          <t xml:space="preserve">Al-Anbya 21:107</t>
        </is>
      </c>
      <c r="E209" s="76" t="inlineStr">
        <is>
          <t xml:space="preserve">وَمَآ أَرْسَلْنَـٰكَ إِلَّا رَحْمَةً لِّلْعَـٰلَمِينَ</t>
        </is>
      </c>
      <c r="F209" s="32" t="inlineStr">
        <is>
          <t xml:space="preserve">Et Nous ne t’avons envoyé qu’en miséricorde pour l’Univers .</t>
        </is>
      </c>
    </row>
    <row r="210" ht="66" customHeight="1">
      <c r="B210" s="44">
        <v>21</v>
      </c>
      <c r="C210" s="32" t="inlineStr">
        <is>
          <t xml:space="preserve">Le modèle du Messager ﷺ</t>
        </is>
      </c>
      <c r="D210" s="78" t="inlineStr">
        <is>
          <t xml:space="preserve">At-Tawbah 9:128</t>
        </is>
      </c>
      <c r="E210" s="76" t="inlineStr">
        <is>
          <t xml:space="preserve">لَقَدْ جَآءَكُمْ رَسُولٌ مِّنْ أَنفُسِكُمْ عَزِيزٌ عَلَيْهِ مَا عَنِتُّمْ حَرِيصٌ عَلَيْكُم بِٱلْمُؤْمِنِينَ رَءُوفٌ رَّحِيمٌ</t>
        </is>
      </c>
      <c r="F210" s="32" t="inlineStr">
        <is>
          <t xml:space="preserve">Certes, un Messager pris parmi vous, est venu à vous, auquel pèsent lourd les difficultés que vous subissez, qui est plein de sollicitude pour vous, qui est compatissant et miséricordieux envers les croyants.</t>
        </is>
      </c>
    </row>
    <row r="211" ht="118" customHeight="1">
      <c r="B211" s="44">
        <v>21</v>
      </c>
      <c r="C211" s="32" t="inlineStr">
        <is>
          <t xml:space="preserve">Le modèle du Messager ﷺ</t>
        </is>
      </c>
      <c r="D211" s="78" t="inlineStr">
        <is>
          <t xml:space="preserve">Ali 'Imran 3:159</t>
        </is>
      </c>
      <c r="E211" s="76" t="inlineStr">
        <is>
          <t xml:space="preserve">فَبِمَا رَحْمَةٍ مِّنَ ٱللَّهِ لِنتَ لَهُمْ ۖ وَلَوْ كُنتَ فَظًّا غَلِيظَ ٱلْقَلْبِ لَٱنفَضُّوا۟ مِنْ حَوْلِكَ ۖ فَٱعْفُ عَنْهُمْ وَٱسْتَغْفِرْ لَهُمْ وَشَاوِرْهُمْ فِى ٱلْأَمْرِ ۖ فَإِذَا عَزَمْتَ فَتَوَكَّلْ عَلَى ٱللَّهِ ۚ إِنَّ ٱللَّهَ يُحِبُّ ٱلْمُتَوَكِّلِينَ</t>
        </is>
      </c>
      <c r="F211" s="32" t="inlineStr">
        <is>
          <t xml:space="preserve">C’est par quelque miséricorde de la part d’Allah que tu (Muḥammad) as été si doux envers eux! Mais si tu avais été rude, au cœur dur, ils se seraient enfuis de ton entourage. Pardonne-leur donc, et implore pour eux le pardon (d’Allah). Et consulte-les à propos des affaires; puis, une fois que tu t’es décidé, confie-toi donc à Allah. Allah aime, en vérité, ceux qui Lui font confiance.</t>
        </is>
      </c>
    </row>
    <row r="212" ht="66" customHeight="1">
      <c r="B212" s="44">
        <v>21</v>
      </c>
      <c r="C212" s="32" t="inlineStr">
        <is>
          <t xml:space="preserve">Le modèle du Messager ﷺ</t>
        </is>
      </c>
      <c r="D212" s="78" t="inlineStr">
        <is>
          <t xml:space="preserve">An-Nisa 4:80</t>
        </is>
      </c>
      <c r="E212" s="76" t="inlineStr">
        <is>
          <t xml:space="preserve">مَّن يُطِعِ ٱلرَّسُولَ فَقَدْ أَطَاعَ ٱللَّهَ ۖ وَمَن تَوَلَّىٰ فَمَآ أَرْسَلْنَـٰكَ عَلَيْهِمْ حَفِيظًا</t>
        </is>
      </c>
      <c r="F212" s="32" t="inlineStr">
        <is>
          <t xml:space="preserve">Quiconque obéit au Messager obéit certainement à Allah. Et quiconque tourne le dos... Nous ne t’avons pas envoyé à eux comme gardien.</t>
        </is>
      </c>
    </row>
    <row r="213" ht="144" customHeight="1">
      <c r="B213" s="44">
        <v>21</v>
      </c>
      <c r="C213" s="32" t="inlineStr">
        <is>
          <t xml:space="preserve">Le modèle du Messager ﷺ</t>
        </is>
      </c>
      <c r="D213" s="78" t="inlineStr">
        <is>
          <t xml:space="preserve">Al-Hashr 59:7</t>
        </is>
      </c>
      <c r="E213" s="76" t="inlineStr">
        <is>
          <t xml:space="preserve">مَّآ أَفَآءَ ٱللَّهُ عَلَىٰ رَسُولِهِۦ مِنْ أَهْلِ ٱلْقُرَىٰ فَلِلَّهِ وَلِلرَّسُولِ وَلِذِى ٱلْقُرْبَىٰ وَٱلْيَتَـٰمَىٰ وَٱلْمَسَـٰكِينِ وَٱبْنِ ٱلسَّبِيلِ كَىْ لَا يَكُونَ دُولَةًۢ بَيْنَ ٱلْأَغْنِيَآءِ مِنكُمْ ۚ وَمَآ ءَاتَىٰكُمُ ٱلرَّسُولُ فَخُذُوهُ وَمَا نَهَىٰكُمْ عَنْهُ فَٱنتَهُوا۟ ۚ وَٱتَّقُوا۟ ٱللَّهَ ۖ إِنَّ ٱللَّهَ شَدِيدُ ٱلْعِقَابِ</t>
        </is>
      </c>
      <c r="F213" s="32" t="inlineStr">
        <is>
          <t xml:space="preserve">Le butin provenant [des biens] des habitants des cités, qu’Allah a accordé sans combat à Son Messager, appartient à Allah, au Messager, aux proches parents, aux orphelins, aux pauvres et au voyageur en détresse, afin que cela ne circule pas parmi les seuls riches d’entre vous. Prenez ce que le Messager vous donne; et ce qu’il vous interdit, abstenez-vous en ; et craignez Allah car Allah est dur en punition.</t>
        </is>
      </c>
    </row>
    <row r="214" ht="40" customHeight="1">
      <c r="B214" s="44">
        <v>21</v>
      </c>
      <c r="C214" s="32" t="inlineStr">
        <is>
          <t xml:space="preserve">Le modèle du Messager ﷺ</t>
        </is>
      </c>
      <c r="D214" s="78" t="inlineStr">
        <is>
          <t xml:space="preserve">An-Najm 53:3</t>
        </is>
      </c>
      <c r="E214" s="76" t="inlineStr">
        <is>
          <t xml:space="preserve">وَمَا يَنطِقُ عَنِ ٱلْهَوَىٰٓ</t>
        </is>
      </c>
      <c r="F214" s="32" t="inlineStr">
        <is>
          <t xml:space="preserve">et il ne prononce rien sous l’effet de la passion ;</t>
        </is>
      </c>
    </row>
    <row r="215" ht="40" customHeight="1">
      <c r="B215" s="44">
        <v>21</v>
      </c>
      <c r="C215" s="32" t="inlineStr">
        <is>
          <t xml:space="preserve">Le modèle du Messager ﷺ</t>
        </is>
      </c>
      <c r="D215" s="78" t="inlineStr">
        <is>
          <t xml:space="preserve">An-Najm 53:4</t>
        </is>
      </c>
      <c r="E215" s="76" t="inlineStr">
        <is>
          <t xml:space="preserve">إِنْ هُوَ إِلَّا وَحْىٌ يُوحَىٰ</t>
        </is>
      </c>
      <c r="F215" s="32" t="inlineStr">
        <is>
          <t xml:space="preserve">ce n’est rien d’autre qu’une révélation qui lui est faite.</t>
        </is>
      </c>
    </row>
    <row r="216" ht="92" customHeight="1">
      <c r="B216" s="44">
        <v>22</v>
      </c>
      <c r="C216" s="32" t="inlineStr">
        <is>
          <t xml:space="preserve">La confiance en Allah</t>
        </is>
      </c>
      <c r="D216" s="78" t="inlineStr">
        <is>
          <t xml:space="preserve">Al-Anfal 8:2</t>
        </is>
      </c>
      <c r="E216" s="76" t="inlineStr">
        <is>
          <t xml:space="preserve">إِنَّمَا ٱلْمُؤْمِنُونَ ٱلَّذِينَ إِذَا ذُكِرَ ٱللَّهُ وَجِلَتْ قُلُوبُهُمْ وَإِذَا تُلِيَتْ عَلَيْهِمْ ءَايَـٰتُهُۥ زَادَتْهُمْ إِيمَـٰنًا وَعَلَىٰ رَبِّهِمْ يَتَوَكَّلُونَ</t>
        </is>
      </c>
      <c r="F216" s="32" t="inlineStr">
        <is>
          <t xml:space="preserve">Les vrais croyants sont ceux dont les cœurs frémissent quand on mentionne Allah. Et quand Ses versets leur sont récités, cela fait augmenter leur foi. Et ils placent leur confiance en leur Seigneur.</t>
        </is>
      </c>
    </row>
    <row r="217" ht="66" customHeight="1">
      <c r="B217" s="44">
        <v>22</v>
      </c>
      <c r="C217" s="32" t="inlineStr">
        <is>
          <t xml:space="preserve">La confiance en Allah</t>
        </is>
      </c>
      <c r="D217" s="78" t="inlineStr">
        <is>
          <t xml:space="preserve">Ali 'Imran 3:173</t>
        </is>
      </c>
      <c r="E217" s="76" t="inlineStr">
        <is>
          <t xml:space="preserve">ٱلَّذِينَ قَالَ لَهُمُ ٱلنَّاسُ إِنَّ ٱلنَّاسَ قَدْ جَمَعُوا۟ لَكُمْ فَٱخْشَوْهُمْ فَزَادَهُمْ إِيمَـٰنًا وَقَالُوا۟ حَسْبُنَا ٱللَّهُ وَنِعْمَ ٱلْوَكِيلُ</t>
        </is>
      </c>
      <c r="F217" s="32" t="inlineStr">
        <is>
          <t xml:space="preserve">Certes, ceux auxquels l’on disait : "Les gens se sont rassemblés contre vous; craignez-les !" - Cela accrut leur foi - et ils dirent : "Allah nous suffit; et Il est notre meilleur garant !"</t>
        </is>
      </c>
    </row>
    <row r="218" ht="66" customHeight="1">
      <c r="B218" s="44">
        <v>22</v>
      </c>
      <c r="C218" s="32" t="inlineStr">
        <is>
          <t xml:space="preserve">La confiance en Allah</t>
        </is>
      </c>
      <c r="D218" s="78" t="inlineStr">
        <is>
          <t xml:space="preserve">Ali 'Imran 3:160</t>
        </is>
      </c>
      <c r="E218" s="76" t="inlineStr">
        <is>
          <t xml:space="preserve">إِن يَنصُرْكُمُ ٱللَّهُ فَلَا غَالِبَ لَكُمْ ۖ وَإِن يَخْذُلْكُمْ فَمَن ذَا ٱلَّذِى يَنصُرُكُم مِّنۢ بَعْدِهِۦ ۗ وَعَلَى ٱللَّهِ فَلْيَتَوَكَّلِ ٱلْمُؤْمِنُونَ</t>
        </is>
      </c>
      <c r="F218" s="32" t="inlineStr">
        <is>
          <t xml:space="preserve">Si Allah vient à votre secours, nul ne pourra vous vaincre. S’Il vous abandonne, qui donc après Lui viendra vous secourir? C’est en Allah que les croyants doivent avoir confiance.</t>
        </is>
      </c>
    </row>
    <row r="219" ht="66" customHeight="1">
      <c r="B219" s="44">
        <v>22</v>
      </c>
      <c r="C219" s="32" t="inlineStr">
        <is>
          <t xml:space="preserve">La confiance en Allah</t>
        </is>
      </c>
      <c r="D219" s="78" t="inlineStr">
        <is>
          <t xml:space="preserve">At-Tawbah 9:51</t>
        </is>
      </c>
      <c r="E219" s="76" t="inlineStr">
        <is>
          <t xml:space="preserve">قُل لَّن يُصِيبَنَآ إِلَّا مَا كَتَبَ ٱللَّهُ لَنَا هُوَ مَوْلَىٰنَا ۚ وَعَلَى ٱللَّهِ فَلْيَتَوَكَّلِ ٱلْمُؤْمِنُونَ</t>
        </is>
      </c>
      <c r="F219" s="32" t="inlineStr">
        <is>
          <t xml:space="preserve">Dis : "Rien ne nous atteindra, en dehors de ce qu’Allah a prescrit pour nous. Il est notre Maître. Et c’est en Allah que les croyants doivent mettre leur confiance."</t>
        </is>
      </c>
    </row>
    <row r="220" ht="66" customHeight="1">
      <c r="B220" s="44">
        <v>22</v>
      </c>
      <c r="C220" s="32" t="inlineStr">
        <is>
          <t xml:space="preserve">La confiance en Allah</t>
        </is>
      </c>
      <c r="D220" s="78" t="inlineStr">
        <is>
          <t xml:space="preserve">Hud 11:123</t>
        </is>
      </c>
      <c r="E220" s="76" t="inlineStr">
        <is>
          <t xml:space="preserve">وَلِلَّهِ غَيْبُ ٱلسَّمَـٰوَٰتِ وَٱلْأَرْضِ وَإِلَيْهِ يُرْجَعُ ٱلْأَمْرُ كُلُّهُۥ فَٱعْبُدْهُ وَتَوَكَّلْ عَلَيْهِ ۚ وَمَا رَبُّكَ بِغَـٰفِلٍ عَمَّا تَعْمَلُونَ</t>
        </is>
      </c>
      <c r="F220" s="32" t="inlineStr">
        <is>
          <t xml:space="preserve">A Allah appartient l’Inconnaissable des cieux et de la Terre, et c’est à Lui que revient l’Ordre tout entier. Adore-Le donc et place ta confiance en Lui ! Ton Seigneur n’est pas inattentif à ce que vous faites.</t>
        </is>
      </c>
    </row>
    <row r="221" ht="66" customHeight="1">
      <c r="B221" s="44">
        <v>22</v>
      </c>
      <c r="C221" s="32" t="inlineStr">
        <is>
          <t xml:space="preserve">La confiance en Allah</t>
        </is>
      </c>
      <c r="D221" s="78" t="inlineStr">
        <is>
          <t xml:space="preserve">Al-Furqan 25:58</t>
        </is>
      </c>
      <c r="E221" s="76" t="inlineStr">
        <is>
          <t xml:space="preserve">وَتَوَكَّلْ عَلَى ٱلْحَىِّ ٱلَّذِى لَا يَمُوتُ وَسَبِّحْ بِحَمْدِهِۦ ۚ وَكَفَىٰ بِهِۦ بِذُنُوبِ عِبَادِهِۦ خَبِيرًا</t>
        </is>
      </c>
      <c r="F221" s="32" t="inlineStr">
        <is>
          <t xml:space="preserve">Et place ta confiance en le Vivant qui ne meurt jamais. Et par Sa louange, glorifie-Le. Et il suffit comme Parfait Informé des péchés de Ses serviteurs.</t>
        </is>
      </c>
    </row>
    <row r="222" ht="92" customHeight="1">
      <c r="B222" s="44">
        <v>22</v>
      </c>
      <c r="C222" s="32" t="inlineStr">
        <is>
          <t xml:space="preserve">La confiance en Allah</t>
        </is>
      </c>
      <c r="D222" s="78" t="inlineStr">
        <is>
          <t xml:space="preserve">Al-Ma'idah 5:23</t>
        </is>
      </c>
      <c r="E222" s="76" t="inlineStr">
        <is>
          <t xml:space="preserve">قَالَ رَجُلَانِ مِنَ ٱلَّذِينَ يَخَافُونَ أَنْعَمَ ٱللَّهُ عَلَيْهِمَا ٱدْخُلُوا۟ عَلَيْهِمُ ٱلْبَابَ فَإِذَا دَخَلْتُمُوهُ فَإِنَّكُمْ غَـٰلِبُونَ ۚ وَعَلَى ٱللَّهِ فَتَوَكَّلُوٓا۟ إِن كُنتُم مُّؤْمِنِينَ</t>
        </is>
      </c>
      <c r="F222" s="32" t="inlineStr">
        <is>
          <t xml:space="preserve">Deux hommes d’entre ceux qui craignaient Allah et qui étaient comblés par Lui de bienfaits dirent: “Entrez chez eux par la porte; puis, quand vous y serez entrés, vous serez les vainqueurs. Et c’est en Allah qu’il faut avoir confiance, si vous êtes croyants.”</t>
        </is>
      </c>
    </row>
    <row r="223" ht="66" customHeight="1">
      <c r="B223" s="44">
        <v>22</v>
      </c>
      <c r="C223" s="32" t="inlineStr">
        <is>
          <t xml:space="preserve">La confiance en Allah</t>
        </is>
      </c>
      <c r="D223" s="78" t="inlineStr">
        <is>
          <t xml:space="preserve">Hud 11:56</t>
        </is>
      </c>
      <c r="E223" s="76" t="inlineStr">
        <is>
          <t xml:space="preserve">إِنِّى تَوَكَّلْتُ عَلَى ٱللَّهِ رَبِّى وَرَبِّكُم ۚ مَّا مِن دَآبَّةٍ إِلَّا هُوَ ءَاخِذٌۢ بِنَاصِيَتِهَآ ۚ إِنَّ رَبِّى عَلَىٰ صِرَٰطٍ مُّسْتَقِيمٍ</t>
        </is>
      </c>
      <c r="F223" s="32" t="inlineStr">
        <is>
          <t xml:space="preserve">Je place ma confiance en Allah, mon Seigneur et le vôtre. Il n’y pas d’être vivant qu’Il ne tienne par son toupet . Mon Seigneur, certes, est sur un droit chemin.</t>
        </is>
      </c>
    </row>
    <row r="224" ht="40" customHeight="1">
      <c r="B224" s="44">
        <v>22</v>
      </c>
      <c r="C224" s="32" t="inlineStr">
        <is>
          <t xml:space="preserve">La confiance en Allah</t>
        </is>
      </c>
      <c r="D224" s="78" t="inlineStr">
        <is>
          <t xml:space="preserve">Al-Ahzab 33:3</t>
        </is>
      </c>
      <c r="E224" s="76" t="inlineStr">
        <is>
          <t xml:space="preserve">وَتَوَكَّلْ عَلَى ٱللَّهِ ۚ وَكَفَىٰ بِٱللَّهِ وَكِيلًا</t>
        </is>
      </c>
      <c r="F224" s="32" t="inlineStr">
        <is>
          <t xml:space="preserve">Et place ta confiance en Allah. Allah te suffit comme protecteur.</t>
        </is>
      </c>
    </row>
    <row r="225" ht="92" customHeight="1">
      <c r="B225" s="44">
        <v>22</v>
      </c>
      <c r="C225" s="32" t="inlineStr">
        <is>
          <t xml:space="preserve">La confiance en Allah</t>
        </is>
      </c>
      <c r="D225" s="78" t="inlineStr">
        <is>
          <t xml:space="preserve">Yusuf 12:67</t>
        </is>
      </c>
      <c r="E225" s="76" t="inlineStr">
        <is>
          <t xml:space="preserve">وَقَالَ يَـٰبَنِىَّ لَا تَدْخُلُوا۟ مِنۢ بَابٍ وَٰحِدٍ وَٱدْخُلُوا۟ مِنْ أَبْوَٰبٍ مُّتَفَرِّقَةٍ ۖ وَمَآ أُغْنِى عَنكُم مِّنَ ٱللَّهِ مِن شَىْءٍ ۖ إِنِ ٱلْحُكْمُ إِلَّا لِلَّهِ ۖ عَلَيْهِ تَوَكَّلْتُ ۖ وَعَلَيْهِ فَلْيَتَوَكَّلِ ٱلْمُتَوَكِّلُونَ</t>
        </is>
      </c>
      <c r="F225" s="32" t="inlineStr">
        <is>
          <t xml:space="preserve">Et il dit : “Ô mes fils ! N’entrez pas par une seule porte, mais entrez par portes séparées. Et je ne peux cependant vous être d’aucune utilité contre les desseins d’Allah. La décision n’appartient qu’à Allah. En Lui je place ma confiance. Et que ceux qui placent leur confiance la place en Lui.”</t>
        </is>
      </c>
    </row>
    <row r="226" ht="40" customHeight="1">
      <c r="B226" s="44">
        <v>23</v>
      </c>
      <c r="C226" s="32" t="inlineStr">
        <is>
          <t xml:space="preserve">L'espoir et la miséricorde</t>
        </is>
      </c>
      <c r="D226" s="78" t="inlineStr">
        <is>
          <t xml:space="preserve">Ash-Sharh 94:5</t>
        </is>
      </c>
      <c r="E226" s="76" t="inlineStr">
        <is>
          <t xml:space="preserve">فَإِنَّ مَعَ ٱلْعُسْرِ يُسْرًا</t>
        </is>
      </c>
      <c r="F226" s="32" t="inlineStr">
        <is>
          <t xml:space="preserve">A côté de la difficulté est, certes, une facilité !</t>
        </is>
      </c>
    </row>
    <row r="227" ht="40" customHeight="1">
      <c r="B227" s="44">
        <v>23</v>
      </c>
      <c r="C227" s="32" t="inlineStr">
        <is>
          <t xml:space="preserve">L'espoir et la miséricorde</t>
        </is>
      </c>
      <c r="D227" s="78" t="inlineStr">
        <is>
          <t xml:space="preserve">Ash-Sharh 94:6</t>
        </is>
      </c>
      <c r="E227" s="76" t="inlineStr">
        <is>
          <t xml:space="preserve">إِنَّ مَعَ ٱلْعُسْرِ يُسْرًا</t>
        </is>
      </c>
      <c r="F227" s="32" t="inlineStr">
        <is>
          <t xml:space="preserve">A côté de la difficulté, est certes, une facilité !</t>
        </is>
      </c>
    </row>
    <row r="228" ht="40" customHeight="1">
      <c r="B228" s="44">
        <v>23</v>
      </c>
      <c r="C228" s="32" t="inlineStr">
        <is>
          <t xml:space="preserve">L'espoir et la miséricorde</t>
        </is>
      </c>
      <c r="D228" s="78" t="inlineStr">
        <is>
          <t xml:space="preserve">Ad-Duhaa 93:3</t>
        </is>
      </c>
      <c r="E228" s="76" t="inlineStr">
        <is>
          <t xml:space="preserve">مَا وَدَّعَكَ رَبُّكَ وَمَا قَلَىٰ</t>
        </is>
      </c>
      <c r="F228" s="32" t="inlineStr">
        <is>
          <t xml:space="preserve">Ton Seigneur ne t’a ni abandonné, ni détesté.</t>
        </is>
      </c>
    </row>
    <row r="229" ht="40" customHeight="1">
      <c r="B229" s="44">
        <v>23</v>
      </c>
      <c r="C229" s="32" t="inlineStr">
        <is>
          <t xml:space="preserve">L'espoir et la miséricorde</t>
        </is>
      </c>
      <c r="D229" s="78" t="inlineStr">
        <is>
          <t xml:space="preserve">Ad-Duhaa 93:4</t>
        </is>
      </c>
      <c r="E229" s="76" t="inlineStr">
        <is>
          <t xml:space="preserve">وَلَلْـَٔاخِرَةُ خَيْرٌ لَّكَ مِنَ ٱلْأُولَىٰ</t>
        </is>
      </c>
      <c r="F229" s="32" t="inlineStr">
        <is>
          <t xml:space="preserve">La vie dernière t’est, certes, meilleure que la vie présente.</t>
        </is>
      </c>
    </row>
    <row r="230" ht="41" customHeight="1">
      <c r="B230" s="44">
        <v>23</v>
      </c>
      <c r="C230" s="32" t="inlineStr">
        <is>
          <t xml:space="preserve">L'espoir et la miséricorde</t>
        </is>
      </c>
      <c r="D230" s="78" t="inlineStr">
        <is>
          <t xml:space="preserve">Ad-Duhaa 93:5</t>
        </is>
      </c>
      <c r="E230" s="76" t="inlineStr">
        <is>
          <t xml:space="preserve">وَلَسَوْفَ يُعْطِيكَ رَبُّكَ فَتَرْضَىٰٓ</t>
        </is>
      </c>
      <c r="F230" s="32" t="inlineStr">
        <is>
          <t xml:space="preserve">Ton Seigneur t’accordera certes [Ses faveurs], et alors tu seras satisfait.</t>
        </is>
      </c>
    </row>
    <row r="231" ht="92" customHeight="1">
      <c r="B231" s="44">
        <v>23</v>
      </c>
      <c r="C231" s="32" t="inlineStr">
        <is>
          <t xml:space="preserve">L'espoir et la miséricorde</t>
        </is>
      </c>
      <c r="D231" s="78" t="inlineStr">
        <is>
          <t xml:space="preserve">Yusuf 12:87</t>
        </is>
      </c>
      <c r="E231" s="76" t="inlineStr">
        <is>
          <t xml:space="preserve">يَـٰبَنِىَّ ٱذْهَبُوا۟ فَتَحَسَّسُوا۟ مِن يُوسُفَ وَأَخِيهِ وَلَا تَا۟يْـَٔسُوا۟ مِن رَّوْحِ ٱللَّهِ ۖ إِنَّهُۥ لَا يَا۟يْـَٔسُ مِن رَّوْحِ ٱللَّهِ إِلَّا ٱلْقَوْمُ ٱلْكَـٰفِرُونَ</t>
        </is>
      </c>
      <c r="F231" s="32" t="inlineStr">
        <is>
          <t xml:space="preserve">Ô mes fils ! Partez et enquérez-vous de Joseph et de son frère ! Et ne désespérez pas de la miséricorde d’Allah. Ce sont seulement les gens mécréants qui désespèrent de la miséricorde d’Allah.”</t>
        </is>
      </c>
    </row>
    <row r="232" ht="118" customHeight="1">
      <c r="B232" s="44">
        <v>23</v>
      </c>
      <c r="C232" s="32" t="inlineStr">
        <is>
          <t xml:space="preserve">L'espoir et la miséricorde</t>
        </is>
      </c>
      <c r="D232" s="78" t="inlineStr">
        <is>
          <t xml:space="preserve">Al-A'raf 7:156</t>
        </is>
      </c>
      <c r="E232" s="76" t="inlineStr">
        <is>
          <t xml:space="preserve">۞ وَٱكْتُبْ لَنَا فِى هَـٰذِهِ ٱلدُّنْيَا حَسَنَةً وَفِى ٱلْـَٔاخِرَةِ إِنَّا هُدْنَآ إِلَيْكَ ۚ قَالَ عَذَابِىٓ أُصِيبُ بِهِۦ مَنْ أَشَآءُ ۖ وَرَحْمَتِى وَسِعَتْ كُلَّ شَىْءٍ ۚ فَسَأَكْتُبُهَا لِلَّذِينَ يَتَّقُونَ وَيُؤْتُونَ ٱلزَّكَوٰةَ وَٱلَّذِينَ هُم بِـَٔايَـٰتِنَا يُؤْمِنُونَ</t>
        </is>
      </c>
      <c r="F232" s="32" t="inlineStr">
        <is>
          <t xml:space="preserve">Et prescris pour nous le bien ici-bas ainsi que dans l’au-delà. Nous voilà revenus vers Toi, repentis." Et (Allah) dit : "Je ferai que Mon châtiment atteigne qui Je veux. Et Ma miséricorde embrasse toute chose. Je la prescrirai à ceux qui (Me) craignent, acquittent l’aumône (Az-Zakât), et ont foi en Nos signes.</t>
        </is>
      </c>
    </row>
    <row r="233" ht="66" customHeight="1">
      <c r="B233" s="44">
        <v>23</v>
      </c>
      <c r="C233" s="32" t="inlineStr">
        <is>
          <t xml:space="preserve">L'espoir et la miséricorde</t>
        </is>
      </c>
      <c r="D233" s="78" t="inlineStr">
        <is>
          <t xml:space="preserve">Al-Baqarah 2:218</t>
        </is>
      </c>
      <c r="E233" s="76" t="inlineStr">
        <is>
          <t xml:space="preserve">إِنَّ ٱلَّذِينَ ءَامَنُوا۟ وَٱلَّذِينَ هَاجَرُوا۟ وَجَـٰهَدُوا۟ فِى سَبِيلِ ٱللَّهِ أُو۟لَـٰٓئِكَ يَرْجُونَ رَحْمَتَ ٱللَّهِ ۚ وَٱللَّهُ غَفُورٌ رَّحِيمٌ</t>
        </is>
      </c>
      <c r="F233" s="32" t="inlineStr">
        <is>
          <t xml:space="preserve">Certes, ceux qui ont cru, émigré et lutté dans le sentier d’Allah, ceux-là espèrent la miséricorde d’Allah. Et Allah est Pardonneur et Miséricordieux.</t>
        </is>
      </c>
    </row>
    <row r="234" ht="66" customHeight="1">
      <c r="B234" s="44">
        <v>23</v>
      </c>
      <c r="C234" s="32" t="inlineStr">
        <is>
          <t xml:space="preserve">L'espoir et la miséricorde</t>
        </is>
      </c>
      <c r="D234" s="78" t="inlineStr">
        <is>
          <t xml:space="preserve">Ash-Shuraa 42:28</t>
        </is>
      </c>
      <c r="E234" s="76" t="inlineStr">
        <is>
          <t xml:space="preserve">وَهُوَ ٱلَّذِى يُنَزِّلُ ٱلْغَيْثَ مِنۢ بَعْدِ مَا قَنَطُوا۟ وَيَنشُرُ رَحْمَتَهُۥ ۚ وَهُوَ ٱلْوَلِىُّ ٱلْحَمِيدُ</t>
        </is>
      </c>
      <c r="F234" s="32" t="inlineStr">
        <is>
          <t xml:space="preserve">Et c’est Lui qui fait descendre la pluie après qu’on en a désespéré, et répand Sa miséricorde. Et c’est Lui le Maître, le Digne de louange.</t>
        </is>
      </c>
    </row>
    <row r="235" ht="66" customHeight="1">
      <c r="B235" s="44">
        <v>23</v>
      </c>
      <c r="C235" s="32" t="inlineStr">
        <is>
          <t xml:space="preserve">L'espoir et la miséricorde</t>
        </is>
      </c>
      <c r="D235" s="78" t="inlineStr">
        <is>
          <t xml:space="preserve">Ali 'Imran 3:139</t>
        </is>
      </c>
      <c r="E235" s="76" t="inlineStr">
        <is>
          <t xml:space="preserve">وَلَا تَهِنُوا۟ وَلَا تَحْزَنُوا۟ وَأَنتُمُ ٱلْأَعْلَوْنَ إِن كُنتُم مُّؤْمِنِينَ</t>
        </is>
      </c>
      <c r="F235" s="32" t="inlineStr">
        <is>
          <t xml:space="preserve">Ne vous laissez pas battre, ne vous affligez pas alors que vous êtes les supérieurs, si vous êtes de vrais croyants.</t>
        </is>
      </c>
    </row>
    <row r="236" ht="66" customHeight="1">
      <c r="B236" s="44">
        <v>24</v>
      </c>
      <c r="C236" s="32" t="inlineStr">
        <is>
          <t xml:space="preserve">Atteindre le Ramadan</t>
        </is>
      </c>
      <c r="D236" s="78" t="inlineStr">
        <is>
          <t xml:space="preserve">Al-Baqarah 2:127</t>
        </is>
      </c>
      <c r="E236" s="76" t="inlineStr">
        <is>
          <t xml:space="preserve">وَإِذْ يَرْفَعُ إِبْرَٰهِـۧمُ ٱلْقَوَاعِدَ مِنَ ٱلْبَيْتِ وَإِسْمَـٰعِيلُ رَبَّنَا تَقَبَّلْ مِنَّآ ۖ إِنَّكَ أَنتَ ٱلسَّمِيعُ ٱلْعَلِيمُ</t>
        </is>
      </c>
      <c r="F236" s="32" t="inlineStr">
        <is>
          <t xml:space="preserve">Et quand Abraham et Ismaël élevaient les assises de la Maison: "Ô notre Seigneur! Accepte ceci de notre part! Car c’est Toi l’Audient, l’Omniscient.</t>
        </is>
      </c>
    </row>
    <row r="237" ht="66" customHeight="1">
      <c r="B237" s="44">
        <v>24</v>
      </c>
      <c r="C237" s="32" t="inlineStr">
        <is>
          <t xml:space="preserve">Atteindre le Ramadan</t>
        </is>
      </c>
      <c r="D237" s="78" t="inlineStr">
        <is>
          <t xml:space="preserve">Al-Baqarah 2:128</t>
        </is>
      </c>
      <c r="E237" s="76" t="inlineStr">
        <is>
          <t xml:space="preserve">رَبَّنَا وَٱجْعَلْنَا مُسْلِمَيْنِ لَكَ وَمِن ذُرِّيَّتِنَآ أُمَّةً مُّسْلِمَةً لَّكَ وَأَرِنَا مَنَاسِكَنَا وَتُبْ عَلَيْنَآ ۖ إِنَّكَ أَنتَ ٱلتَّوَّابُ ٱلرَّحِيمُ</t>
        </is>
      </c>
      <c r="F237" s="32" t="inlineStr">
        <is>
          <t xml:space="preserve">Notre Seigneur! Fais de nous Tes Soumis, et de notre descendance une communauté soumise à Toi. Et montre nous nos rites et accepte de nous le repentir. Car c’est Toi certes l’Accueillant au repentir, le Miséricordieux.</t>
        </is>
      </c>
    </row>
    <row r="238" ht="144" customHeight="1">
      <c r="B238" s="44">
        <v>24</v>
      </c>
      <c r="C238" s="32" t="inlineStr">
        <is>
          <t xml:space="preserve">Atteindre le Ramadan</t>
        </is>
      </c>
      <c r="D238" s="78" t="inlineStr">
        <is>
          <t xml:space="preserve">Al-Ahqaf 46:15</t>
        </is>
      </c>
      <c r="E238" s="76" t="inlineStr">
        <is>
          <t xml:space="preserve">وَوَصَّيْنَا ٱلْإِنسَـٰنَ بِوَٰلِدَيْهِ إِحْسَـٰنًا ۖ حَمَلَتْهُ أُمُّهُۥ كُرْهًا وَوَضَعَتْهُ كُرْهًا ۖ وَحَمْلُهُۥ وَفِصَـٰلُهُۥ ثَلَـٰثُونَ شَهْرًا ۚ حَتَّىٰٓ إِذَا بَلَغَ أَشُدَّهُۥ وَبَلَغَ أَرْبَعِينَ سَنَةً قَالَ رَبِّ أَوْزِعْنِىٓ أَنْ أَشْكُرَ نِعْمَتَكَ ٱلَّتِىٓ أَنْعَمْتَ عَلَىَّ وَعَلَىٰ وَٰلِدَىَّ وَأَنْ أَعْمَلَ صَـٰلِحًا تَرْضَىٰهُ وَأَصْلِحْ لِى فِى ذُرِّيَّتِىٓ ۖ إِنِّى تُبْتُ إِلَيْكَ وَإِنِّى مِنَ ٱلْمُسْلِمِينَ</t>
        </is>
      </c>
      <c r="F238" s="32" t="inlineStr">
        <is>
          <t xml:space="preserve">Et Nous avons enjoint à l’homme de la bonté envers ses père et mère: sa mère l’a péniblement porté et en a péniblement accouché ; et sa gestation et sevrage durant trente mois ; puis quand il atteint ses pleines forces et atteint quarante ans, il dit : "Ô Seigneur ! Inspire-moi pour que je rende grâce au bienfait dont Tu m’as comblé ainsi qu’à mes père et mère, et pour que je fasse une bonne œuvre que Tu agrées. Et fais, pour moi, que ma postérité soit de moralité saine, Je me repens à Toi et je suis du nombre des Soumis."</t>
        </is>
      </c>
    </row>
    <row r="239" ht="41" customHeight="1">
      <c r="B239" s="44">
        <v>24</v>
      </c>
      <c r="C239" s="32" t="inlineStr">
        <is>
          <t xml:space="preserve">Atteindre le Ramadan</t>
        </is>
      </c>
      <c r="D239" s="78" t="inlineStr">
        <is>
          <t xml:space="preserve">Ibrahim 14:40</t>
        </is>
      </c>
      <c r="E239" s="76" t="inlineStr">
        <is>
          <t xml:space="preserve">رَبِّ ٱجْعَلْنِى مُقِيمَ ٱلصَّلَوٰةِ وَمِن ذُرِّيَّتِى ۚ رَبَّنَا وَتَقَبَّلْ دُعَآءِ</t>
        </is>
      </c>
      <c r="F239" s="32" t="inlineStr">
        <is>
          <t xml:space="preserve">Ô mon Seigneur ! Fais que j’accomplisse assidûment la prière (As-Salât) ainsi qu’une partie de ma descendance ! Ô notre Seigneur ! Exauce ma prière !</t>
        </is>
      </c>
    </row>
    <row r="240" ht="41" customHeight="1">
      <c r="B240" s="44">
        <v>24</v>
      </c>
      <c r="C240" s="32" t="inlineStr">
        <is>
          <t xml:space="preserve">Atteindre le Ramadan</t>
        </is>
      </c>
      <c r="D240" s="78" t="inlineStr">
        <is>
          <t xml:space="preserve">Ibrahim 14:41</t>
        </is>
      </c>
      <c r="E240" s="76" t="inlineStr">
        <is>
          <t xml:space="preserve">رَبَّنَا ٱغْفِرْ لِى وَلِوَٰلِدَىَّ وَلِلْمُؤْمِنِينَ يَوْمَ يَقُومُ ٱلْحِسَابُ</t>
        </is>
      </c>
      <c r="F240" s="32" t="inlineStr">
        <is>
          <t xml:space="preserve">Notre Seigneur ! Pardonne-moi, ainsi qu’à mes père et mère et aux croyants, le Jour de la Reddition des Comptes !”</t>
        </is>
      </c>
    </row>
    <row r="241" ht="92" customHeight="1">
      <c r="B241" s="44">
        <v>24</v>
      </c>
      <c r="C241" s="32" t="inlineStr">
        <is>
          <t xml:space="preserve">Atteindre le Ramadan</t>
        </is>
      </c>
      <c r="D241" s="78" t="inlineStr">
        <is>
          <t xml:space="preserve">Ali 'Imran 3:193</t>
        </is>
      </c>
      <c r="E241" s="76" t="inlineStr">
        <is>
          <t xml:space="preserve">رَّبَّنَآ إِنَّنَا سَمِعْنَا مُنَادِيًا يُنَادِى لِلْإِيمَـٰنِ أَنْ ءَامِنُوا۟ بِرَبِّكُمْ فَـَٔامَنَّا ۚ رَبَّنَا فَٱغْفِرْ لَنَا ذُنُوبَنَا وَكَفِّرْ عَنَّا سَيِّـَٔاتِنَا وَتَوَفَّنَا مَعَ ٱلْأَبْرَارِ</t>
        </is>
      </c>
      <c r="F241" s="32" t="inlineStr">
        <is>
          <t xml:space="preserve">Seigneur! Nous avons entendu l’appel de celui qui a appelé ainsi à la foi: "Croyez en votre Seigneur !" Et dès lors nous avons cru. Seigneur ! Pardonne-nous nos péchés, efface de nous nos méfaits, et place nous, à notre mort, avec les gens de bien.</t>
        </is>
      </c>
    </row>
    <row r="242" ht="66" customHeight="1">
      <c r="B242" s="44">
        <v>24</v>
      </c>
      <c r="C242" s="32" t="inlineStr">
        <is>
          <t xml:space="preserve">Atteindre le Ramadan</t>
        </is>
      </c>
      <c r="D242" s="78" t="inlineStr">
        <is>
          <t xml:space="preserve">Ali 'Imran 3:194</t>
        </is>
      </c>
      <c r="E242" s="76" t="inlineStr">
        <is>
          <t xml:space="preserve">رَبَّنَا وَءَاتِنَا مَا وَعَدتَّنَا عَلَىٰ رُسُلِكَ وَلَا تُخْزِنَا يَوْمَ ٱلْقِيَـٰمَةِ ۗ إِنَّكَ لَا تُخْلِفُ ٱلْمِيعَادَ</t>
        </is>
      </c>
      <c r="F242" s="32" t="inlineStr">
        <is>
          <t xml:space="preserve">Seigneur! Donne-nous ce que Tu nous as promis par Tes Messagers. Et ne nous couvre pas d’ignominie au Jour de la Résurrection. Car Toi, Tu ne manques pas à Ta promesse".</t>
        </is>
      </c>
    </row>
    <row r="243" ht="92" customHeight="1">
      <c r="B243" s="44">
        <v>24</v>
      </c>
      <c r="C243" s="32" t="inlineStr">
        <is>
          <t xml:space="preserve">Atteindre le Ramadan</t>
        </is>
      </c>
      <c r="D243" s="78" t="inlineStr">
        <is>
          <t xml:space="preserve">Al-Hashr 59:10</t>
        </is>
      </c>
      <c r="E243" s="76" t="inlineStr">
        <is>
          <t xml:space="preserve">وَٱلَّذِينَ جَآءُو مِنۢ بَعْدِهِمْ يَقُولُونَ رَبَّنَا ٱغْفِرْ لَنَا وَلِإِخْوَٰنِنَا ٱلَّذِينَ سَبَقُونَا بِٱلْإِيمَـٰنِ وَلَا تَجْعَلْ فِى قُلُوبِنَا غِلًّا لِّلَّذِينَ ءَامَنُوا۟ رَبَّنَآ إِنَّكَ رَءُوفٌ رَّحِيمٌ</t>
        </is>
      </c>
      <c r="F243" s="32" t="inlineStr">
        <is>
          <t xml:space="preserve">Et [il appartient également] à ceux qui sont venus après eux en disant : "Seigneur, pardonne-nous, ainsi qu’à nos frères qui nous ont précédés dans la foi; et ne mets dans nos cœurs aucune rancœur pour ceux qui ont cru. Seigneur, Tu es Compatissant et Très Miséricordieux."</t>
        </is>
      </c>
    </row>
    <row r="244" ht="41" customHeight="1">
      <c r="B244" s="44">
        <v>24</v>
      </c>
      <c r="C244" s="32" t="inlineStr">
        <is>
          <t xml:space="preserve">Atteindre le Ramadan</t>
        </is>
      </c>
      <c r="D244" s="78" t="inlineStr">
        <is>
          <t xml:space="preserve">Al-Mu'minun 23:118</t>
        </is>
      </c>
      <c r="E244" s="76" t="inlineStr">
        <is>
          <t xml:space="preserve">وَقُل رَّبِّ ٱغْفِرْ وَٱرْحَمْ وَأَنتَ خَيْرُ ٱلرَّٰحِمِينَ</t>
        </is>
      </c>
      <c r="F244" s="32" t="inlineStr">
        <is>
          <t xml:space="preserve">Et dis : "Seigneur ! Pardonne et fais miséricorde ! C’est Toi le Meilleur des miséricordieux."</t>
        </is>
      </c>
    </row>
    <row r="245" ht="66" customHeight="1">
      <c r="B245" s="44">
        <v>24</v>
      </c>
      <c r="C245" s="32" t="inlineStr">
        <is>
          <t xml:space="preserve">Atteindre le Ramadan</t>
        </is>
      </c>
      <c r="D245" s="78" t="inlineStr">
        <is>
          <t xml:space="preserve">Nuh 71:28</t>
        </is>
      </c>
      <c r="E245" s="76" t="inlineStr">
        <is>
          <t xml:space="preserve">رَّبِّ ٱغْفِرْ لِى وَلِوَٰلِدَىَّ وَلِمَن دَخَلَ بَيْتِىَ مُؤْمِنًا وَلِلْمُؤْمِنِينَ وَٱلْمُؤْمِنَـٰتِ وَلَا تَزِدِ ٱلظَّـٰلِمِينَ إِلَّا تَبَارًۢا</t>
        </is>
      </c>
      <c r="F245" s="32" t="inlineStr">
        <is>
          <t xml:space="preserve">Seigneur! Pardonne-moi, et à mes père et mère et à celui qui entre dans ma demeure croyant, ainsi qu’aux croyants et croyantes; et ne fait croître les injustes qu’en perdition."</t>
        </is>
      </c>
    </row>
  </sheetData>
  <sheetProtection sheet="1" formatColumns="0" formatRows="0"/>
  <mergeCells count="4">
    <mergeCell ref="B1:F1"/>
    <mergeCell ref="B2:F2"/>
    <mergeCell ref="B3:F3"/>
    <mergeCell ref="C4:F4"/>
  </mergeCells>
  <conditionalFormatting sqref="B6:F245">
    <cfRule type="expression" dxfId="1" priority="1">
      <formula>AND(ISNUMBER($B$4),$B6=$B$4)</formula>
    </cfRule>
  </conditionalFormatting>
  <printOptions horizontalCentered="1"/>
  <pageMargins left="0.4" right="0.4" top="0.6" bottom="0.6" header="0.3" footer="0.3"/>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MODE D'EMPLOI</vt:lpstr>
      <vt:lpstr>MON SUIVI QUOTIDIEN</vt:lpstr>
      <vt:lpstr>MON BILAN RIJAL FIT</vt:lpstr>
      <vt:lpstr>MA PROGRESSION</vt:lpstr>
      <vt:lpstr>MES MISSIONS</vt:lpstr>
      <vt:lpstr>VERSETS</vt:lpstr>
      <vt:lpstr>MISSIONS</vt:lpstr>
      <vt:lpstr>CALCULS</vt:lpstr>
      <vt:lpstr>TEXTES</vt:lpstr>
      <vt:lpstr>SAISIES_SEMAINE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Matthieu</cp:lastModifiedBy>
  <cp:revision>1</cp:revision>
  <dcterms:created xsi:type="dcterms:W3CDTF">2026-10-15T20:44:38Z</dcterms:created>
  <dcterms:modified xsi:type="dcterms:W3CDTF">2026-10-16T21:07:39Z</dcterms:modified>
  <dc:language>en-US</dc:language>
</cp:coreProperties>
</file>